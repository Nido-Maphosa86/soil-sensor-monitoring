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ese\Downloads\"/>
    </mc:Choice>
  </mc:AlternateContent>
  <xr:revisionPtr revIDLastSave="0" documentId="13_ncr:1_{A422155B-9BE9-43A5-AEB3-6C28D322D1BB}" xr6:coauthVersionLast="47" xr6:coauthVersionMax="47" xr10:uidLastSave="{00000000-0000-0000-0000-000000000000}"/>
  <bookViews>
    <workbookView xWindow="-120" yWindow="-120" windowWidth="20730" windowHeight="11040" firstSheet="1" activeTab="1"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<sst xmlns="http://schemas.openxmlformats.org/spreadsheetml/2006/main" count="434" uniqueCount="242">
  <si>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</si>
  <si>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</si>
  <si>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</si>
  <si>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</si>
  <si>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</si>
  <si>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</si>
  <si>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</si>
  <si>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</si>
  <si>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</si>
  <si>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</si>
  <si>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</si>
  <si>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</si>
  <si>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</si>
  <si>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</si>
  <si>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</si>
  <si>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</si>
  <si>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</si>
  <si>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</si>
  <si>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</si>
  <si>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</si>
  <si>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</si>
  <si>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</si>
  <si>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</si>
  <si>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</si>
  <si>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</si>
  <si>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</si>
  <si>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</si>
  <si>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</si>
  <si>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</si>
  <si>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</si>
  <si>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</si>
  <si>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</si>
  <si>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</si>
  <si>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</si>
  <si>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</si>
  <si>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</si>
  <si>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</si>
  <si>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</si>
  <si>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</si>
  <si>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</si>
  <si>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</si>
  <si>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</si>
  <si>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</si>
  <si>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</si>
  <si>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</si>
  <si>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</si>
  <si>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</si>
  <si>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</si>
  <si>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</si>
  <si>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</si>
  <si>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</si>
  <si>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</si>
  <si>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</si>
  <si>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</si>
  <si>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</si>
  <si>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</si>
  <si>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</si>
  <si>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</si>
  <si>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</si>
  <si>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</si>
  <si>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</si>
  <si>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</si>
  <si>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</si>
  <si>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</si>
  <si>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</si>
  <si>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</si>
  <si>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</si>
  <si>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</si>
  <si>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</si>
  <si>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</si>
  <si>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</si>
  <si>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</si>
  <si>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</si>
  <si>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</si>
  <si>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</si>
  <si>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</si>
  <si>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</si>
  <si>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</si>
  <si>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</si>
  <si>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</si>
  <si>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</si>
  <si>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</si>
  <si>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</si>
  <si>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</si>
  <si>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</si>
  <si>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</si>
  <si>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</si>
  <si>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</si>
  <si>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</si>
  <si>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</si>
  <si>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</si>
  <si>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</si>
  <si>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</si>
  <si>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</si>
  <si>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</si>
  <si>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</si>
  <si>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</si>
  <si>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</si>
  <si>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</si>
  <si>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</si>
  <si>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</si>
  <si>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</si>
  <si>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</si>
  <si>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</si>
  <si>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</si>
  <si>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</si>
  <si>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</si>
  <si>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</si>
  <si>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</si>
  <si>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</si>
  <si>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</si>
  <si>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</si>
  <si>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</si>
  <si>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</si>
  <si>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</si>
  <si>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</si>
  <si>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</si>
  <si>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</si>
  <si>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</si>
  <si>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</si>
  <si>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</si>
  <si>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</si>
  <si>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</si>
  <si>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</si>
  <si>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</si>
  <si>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</si>
  <si>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</si>
  <si>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</si>
  <si>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</si>
  <si>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</si>
  <si>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</si>
  <si>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</si>
  <si>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</si>
  <si>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</si>
  <si>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</si>
  <si>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</si>
  <si>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</si>
  <si>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</si>
  <si>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</si>
  <si>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</si>
  <si>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</si>
  <si>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</si>
  <si>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</si>
  <si>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</si>
  <si>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</si>
  <si>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</si>
  <si>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</si>
  <si>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</si>
  <si>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</si>
  <si>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</si>
  <si>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</si>
  <si>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</si>
  <si>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Group O</t>
  </si>
  <si>
    <t>Nido Maphosa</t>
  </si>
  <si>
    <t>Multi-Site and Environmental Monitoring System</t>
  </si>
  <si>
    <t>Goitemang Diane(Department of Agriculture, Plant and Science)</t>
  </si>
  <si>
    <t>Mjiyakho T, Masita T, Pikwa A, Seiphetlho GK</t>
  </si>
  <si>
    <t>Nido Maphosa, Freeman C, Tyam M, Machedi M</t>
  </si>
  <si>
    <t>Mjiyakho T, Tyam M, Machedi M</t>
  </si>
  <si>
    <t>Mjiyakho T</t>
  </si>
  <si>
    <t>Freeman C</t>
  </si>
  <si>
    <t>Pikwa A</t>
  </si>
  <si>
    <t>Tyam M</t>
  </si>
  <si>
    <t>Machedi M</t>
  </si>
  <si>
    <t>Masita T</t>
  </si>
  <si>
    <t>Seiphetlho Gk</t>
  </si>
  <si>
    <t>Nido Maphosa, Pikwa A</t>
  </si>
  <si>
    <t>Freeman C, Seiphetlho GK</t>
  </si>
  <si>
    <t>Figma</t>
  </si>
  <si>
    <t>Mobile Application Prototype, Progress Report</t>
  </si>
  <si>
    <t>Mobile Application Prototype</t>
  </si>
  <si>
    <t>Web and Mobile Application Prototype</t>
  </si>
  <si>
    <t>System Architecture and Web Application Prototype</t>
  </si>
  <si>
    <t>Mobile Application Prototype, ERDs</t>
  </si>
  <si>
    <t>Use Case diagrams and Web application Prototype</t>
  </si>
  <si>
    <t>Organise the overall design for both the web and mobile applications and assign screens to members.</t>
  </si>
  <si>
    <t>Microsoft Project Schedule and Web Application Prototype.</t>
  </si>
  <si>
    <t>Manage and update the project schedule using Microsoft Project and design the Web application prototype screens.</t>
  </si>
  <si>
    <t>Develop the system architecture and contribute to the design of the web application screens.</t>
  </si>
  <si>
    <t>Identify database entities, attributes, primary keys, foreign keys, relationships and cardinalities.</t>
  </si>
  <si>
    <t>Identify System actors and their interactions with the web and mobile applications and contribute to the web application screens.</t>
  </si>
  <si>
    <t>Design the mobile application screens.</t>
  </si>
  <si>
    <t>Design and develop the prototype screens for the mobile application.</t>
  </si>
  <si>
    <t>Compile and update the Phase 2 progress report and contribute to the design of the mobile applications screens.</t>
  </si>
  <si>
    <t>Yes</t>
  </si>
  <si>
    <t>N Maphosa, Freeman C, Tyam M, Machedi M, Masita T, Mjiyakho T, Pikwa A, Seiphetlho GK</t>
  </si>
  <si>
    <t>Organised the web and mobile application prototypes and worked on designing and arranging the web application screens.</t>
  </si>
  <si>
    <t>Updated and maintained the Microsoft Project schedule and designed the web application prototype screens.</t>
  </si>
  <si>
    <t>Designed the mobile application prototype screens and worked on Updating the SRS</t>
  </si>
  <si>
    <t>Worked on the system architecture and designed the web application prototype screens.</t>
  </si>
  <si>
    <t>Identified and documented the database entities, their attributes, primary and foreign keys, and the relationships and cardinalities between entities.</t>
  </si>
  <si>
    <t>Worked on identifying system actors and their interactions with the web and mobile applications, developed the use cases diagrams, and contributed to the design of the web application screens.</t>
  </si>
  <si>
    <t>Designed and developed the mobile application prototype screens and helped with the use cases.</t>
  </si>
  <si>
    <t>Updated and maintained the Phase 2 progress report by documenting project progress and activities, and worked on designing the mobile application prototype screens.</t>
  </si>
  <si>
    <t>Mjiyakho</t>
  </si>
  <si>
    <t xml:space="preserve"> Masita T</t>
  </si>
  <si>
    <t>The database design required careful review before it could be incorporated into the overall system design.</t>
  </si>
  <si>
    <t>Identified the entities, attributes, primary keys, foreign keys, relationships, and cardinalities for the ERD</t>
  </si>
  <si>
    <t>Ensuring that the database design included the correct entities, attributes, keys, and relationships.</t>
  </si>
  <si>
    <t>Designing consistent interfaces for the web and mobile applications.</t>
  </si>
  <si>
    <t>Additional effort was required to organise the screens and ensure that the two interfaces supported the intended system functionality.</t>
  </si>
  <si>
    <t>Collaborated on the prototypes, reviewed the screens, and refined the interface designs</t>
  </si>
  <si>
    <t xml:space="preserve">Tyam, Freeman, Maphosa, Pikwa, Mjiyakho, Seiphetlho, Machedi, Masita </t>
  </si>
  <si>
    <t>Designing the mobile application screens and navigation flow</t>
  </si>
  <si>
    <t>The mobile application required attention to screen arrangement and navigation between different sections.</t>
  </si>
  <si>
    <t>Divided the work among the members so that the work would be easier. Designed and organised the mobile screens and reviewed the navigation flow.</t>
  </si>
  <si>
    <t>Mjiyakho, Seiphetlho, Pikwa, Masita</t>
  </si>
  <si>
    <t>Incorporate stakeholder feedback into the designs</t>
  </si>
  <si>
    <t>The team needed to review the proposed design and consider possible adjustments before finalising it.</t>
  </si>
  <si>
    <t>The stakeholder reviewed the feedback and there was no necessary changes to the prototype and design documentation.</t>
  </si>
  <si>
    <t>The project mentor was unavailable from 28 September to 2 September, preventing the team from attending consultations during that period.</t>
  </si>
  <si>
    <t>The team had to postpone the consultation and wait until the mentor returned the following week to review our work and check if we are on the right track</t>
  </si>
  <si>
    <t>Continued working on the available project activities and design tasks while waiting for the mentor to return, then resumed consultations when he became available.</t>
  </si>
  <si>
    <t>During Phase 2, the group successfully completed the design and prototyping activities required for the project. These included the web and mobile application prototypes, system architecture, sequence diagrams, use case diagrams, and the Entity Relationship Diagram (ERD). The group also worked on the system design to ensure that the web and mobile applications followed the intended system requirements and functionality. The prototypes helped the group and the stakeholder visualise how the applications would look and how users would interact with the system before moving into the development phase. The UML diagrams and ERD provided a clearer understanding of the system's structure, user interactions, and database relationships.</t>
  </si>
  <si>
    <t>The most challenging activities during phase 2 were designing the mobile application prototype, developing the use case diagrams and creating the ERD. Designing the mobile application required careful planning of the screens, layout and navigation to ensure that users could move between different sections easily. Developing the use case diagrams also required the group to identify the different actors and understand their responsibilities and interactions with the web and mobile applications.</t>
  </si>
  <si>
    <t>The work was divided among group members according to their assigned responsibilities, strengths and the different project deliverables. Some members focused on the web application prototype, while others worked on the mobile application prototype, system architecture, UML diagrams, ERD and project documentation. Certain members also assisted with managing the project schedule and updating the progress report.
The group collaborated throughout the design process, and members were expected to complete their assigned tasks while assisting others when necessary. Some members worked together in pairs on the web and mobile application designs to help complete the work efficiently.
Although the responsibilities were distributed among the members, participation was not always completely balanced, as some members had more work to complete than others. Communication between members was also a challenge at times. Nevertheless, the team continued working towards the common goal of completing the Phase 2 design deliverables.</t>
  </si>
  <si>
    <t>The group used the Software Requirements Specification (SRS) as a guide to ensure that the Flutter mobile application and ASP.NET web application followed the same system requirements. The team also referred to the system architecture and sequence diagrams to understand the intended flow of information and interactions within the system.
The group worked together and reviewed the different design components after completing each part. The backend design and application prototypes were used to maintain consistency in the system's structure, data and functionality. The mobile application screens and web application interfaces were designed around the same overall system requirements to ensure that both platforms would work together as parts of one integrated system.
These design activities provided a common foundation for implementing and integrating the applications during Phase 3.</t>
  </si>
  <si>
    <t>During Phase 3, the group intends to improve communication and collaboration to ensure that all members understand their responsibilities, progress and deadlines. Regular progress updates and more frequent group discussions will help members identify problems earlier and reduce misunderstandings.
The group will also aim to work together more consistently, provide assistance when members encounter difficulties and ensure that assigned tasks are completed on time. Responsibilities and deadlines will be communicated clearly, and the project schedule will be updated regularly to monitor progress.
In addition, the group will seek consultations and feedback when necessary and use the Phase 2 design documents as a guide during implementation. The system architecture, UML diagrams, ERD and prototypes will help ensure that the web and mobile applications are developed according to the planned requirements.
By improving communication, time management, teamwork and task coordination, the group aims to make the development process more organised and ensure that the web and mobile applications work together as one integrated system.</t>
  </si>
  <si>
    <t>The group learned the importance of planning and understanding a system before beginning implementation. Developing UML diagrams helped members understand how different actors interact with the system, the responsibilities of each actor and the flow of activities within the applications.
Creating the ERD improved the group's understanding of database design, including entities, attributes, primary keys, foreign keys and relationships between data. The interface design activities also helped members understand how users would interact with the web and mobile applications and how screen layouts and navigation contribute to usability.
Furthermore, the group learned that effective communication, teamwork and reviewing each other's work are essential when developing a system. Careful planning during the design phase can help reduce confusion, identify potential problems early and save time during coding and implementation.</t>
  </si>
  <si>
    <t>18hrs</t>
  </si>
  <si>
    <t>10hrs</t>
  </si>
  <si>
    <t>15hrs</t>
  </si>
  <si>
    <t>14hrs</t>
  </si>
  <si>
    <t>13hrs</t>
  </si>
  <si>
    <t>Seiphetlho G, Pikwa A, Masita T, Mjiyakho T</t>
  </si>
  <si>
    <t>Maphosa N, Tyam M, Freeman C, Machedi M</t>
  </si>
  <si>
    <t>Tyam M, Maphosa N</t>
  </si>
  <si>
    <t>15 September-13 October 2026</t>
  </si>
  <si>
    <t>Web and Mobile application prototype, system architecture, sequence diagrams, use case diagrams, ERD and project documentation.</t>
  </si>
  <si>
    <t>Phase 2 presentation</t>
  </si>
  <si>
    <t>It will take place on 13 October 2026</t>
  </si>
  <si>
    <t>Developing the prototypes, system architecture, UML diagrams, ERD, and maintaining the project schedule and progress report</t>
  </si>
  <si>
    <t>Participation was generally collaborative, although workload distribution and communication  were not always balanced.</t>
  </si>
  <si>
    <t>Improve communication, provide regular updates, clarify responsibilities, and complete tasks on time.</t>
  </si>
  <si>
    <t>Begin development of the web and mobile applications using the approved designs and ensure both applications work as one integrated system</t>
  </si>
  <si>
    <t>https://github.com/Nido-Maphosa86/soil-sensor-monitoring</t>
  </si>
  <si>
    <t>Figma Prototype</t>
  </si>
  <si>
    <t xml:space="preserve">Figma </t>
  </si>
  <si>
    <t>Web Application – Figma</t>
  </si>
  <si>
    <t>Mobile - Screens</t>
  </si>
  <si>
    <t>Web Application - Screens</t>
  </si>
  <si>
    <t>https://www.figma.com/design/KmYxvZZnIxJXbAuP3n39Hb/Web-Application?node-id=6-15&amp;p=f&amp;t=PMWls9wQ4muboydr-0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</si>
</sst>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5"/>
      <color rgb="FFFFFFFF"/>
      <name val="Carlito"/>
    </font>
    <font>
      <b/>
      <sz val="11"/>
      <color rgb="FFFFFFFF"/>
      <name val="Carlito"/>
    </font>
    <font>
      <b/>
      <sz val="11"/>
      <name val="Carlito"/>
    </font>
    <font>
      <u/>
      <sz val="11"/>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4" borderId="0" xfId="0" applyFont="1" applyFill="1" applyAlignment="1">
      <alignment wrapText="1"/>
    </xf>
    <xf numFmtId="0" fontId="0" fillId="5" borderId="0" xfId="0" applyFill="1" applyAlignment="1">
      <alignment vertical="top" wrapText="1"/>
    </xf>
    <xf numFmtId="0" fontId="3" fillId="6" borderId="0" xfId="0" applyFont="1" applyFill="1" applyAlignment="1">
      <alignment horizontal="center"/>
    </xf>
    <xf numFmtId="9" fontId="3" fillId="6" borderId="0" xfId="0" applyNumberFormat="1" applyFont="1" applyFill="1" applyAlignment="1">
      <alignment horizontal="center"/>
    </xf>
    <xf numFmtId="9" fontId="0" fillId="5" borderId="0" xfId="0" applyNumberFormat="1" applyFill="1" applyAlignment="1">
      <alignment vertical="top" wrapText="1"/>
    </xf>
    <xf numFmtId="0" fontId="3" fillId="4" borderId="0" xfId="0" applyFont="1" applyFill="1" applyAlignment="1">
      <alignment vertical="top" wrapText="1"/>
    </xf>
    <xf numFmtId="14" fontId="0" fillId="5" borderId="0" xfId="0" applyNumberFormat="1" applyFill="1" applyAlignment="1">
      <alignment vertical="top" wrapText="1"/>
    </xf>
    <xf numFmtId="0" fontId="4" fillId="5" borderId="0" xfId="1" applyFill="1" applyAlignment="1">
      <alignment vertical="top" wrapText="1"/>
    </xf>
    <xf numFmtId="0" fontId="1" fillId="2" borderId="0" xfId="0" applyFont="1" applyFill="1" applyAlignment="1">
      <alignment horizontal="center" vertical="center"/>
    </xf>
    <xf numFmtId="0" fontId="0" fillId="3" borderId="0" xfId="0" applyFill="1" applyAlignment="1">
      <alignment wrapText="1"/>
    </xf>
    <xf numFmtId="0" fontId="2" fillId="2" borderId="0" xfId="0" applyFont="1" applyFill="1"/>
    <xf numFmtId="0" fontId="0" fillId="3" borderId="0" xfId="0" applyFill="1" applyAlignment="1">
      <alignment vertical="top" wrapText="1"/>
    </xf>
    <xf numFmtId="0" fontId="2" fillId="2" borderId="0" xfId="0" applyFont="1" applyFill="1" applyAlignment="1">
      <alignment horizontal="center"/>
    </xf>
    <xf numFmtId="0" fontId="0" fillId="5" borderId="0" xfId="0" applyFill="1" applyAlignment="1">
      <alignment vertical="top" wrapText="1"/>
    </xf>
    <xf numFmtId="0" fontId="3" fillId="4" borderId="0" xfId="0" applyFont="1" applyFill="1" applyAlignment="1">
      <alignment wrapText="1"/>
    </xf>
    <xf numFmtId="0" fontId="3" fillId="5" borderId="0" xfId="0" applyFont="1" applyFill="1" applyAlignment="1">
      <alignment vertical="top" wrapText="1"/>
    </xf>
    <xf numFmtId="0" fontId="3" fillId="4" borderId="0" xfId="0" applyFont="1" applyFill="1" applyAlignment="1">
      <alignment vertical="top" wrapText="1"/>
    </xf>
  </cellXfs>
  <cellStyles count="2">
    <cellStyle name="Hyperlink" xfId="1" builtinId="8"/>
    <cellStyle name="Normal" xfId="0" builtinId="0"/>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Nido-Maphosa86/soil-sensor-monitorin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igma.com/proto/H0fkapW22cNvwNadtpKjip/Mobile?node-id=72-2&amp;p=f&amp;t=IJKiFTTGSL0aGauq-1&amp;scaling=scale-down&amp;content-scaling=fixed&amp;page-id=61%3A544&amp;starting-point-node-id=72%3A2" TargetMode="External"/><Relationship Id="rId2" Type="http://schemas.openxmlformats.org/officeDocument/2006/relationships/hyperlink" Target="https://www.figma.com/design/KmYxvZZnIxJXbAuP3n39Hb/Web-Application?node-id=0-1&amp;t=3dOsxBqq1SLu06n5-0" TargetMode="External"/><Relationship Id="rId1" Type="http://schemas.openxmlformats.org/officeDocument/2006/relationships/hyperlink" Target="https://www.figma.com/design/KmYxvZZnIxJXbAuP3n39Hb/Web-Application?node-id=0-1&amp;t=3dOsxBqq1SLu06n5-0" TargetMode="External"/><Relationship Id="rId5" Type="http://schemas.openxmlformats.org/officeDocument/2006/relationships/hyperlink" Target="https://www.figma.com/design/KmYxvZZnIxJXbAuP3n39Hb/Web-Application?node-id=6-15&amp;p=f&amp;t=PMWls9wQ4muboydr-0" TargetMode="External"/><Relationship Id="rId4" Type="http://schemas.openxmlformats.org/officeDocument/2006/relationships/hyperlink" Target="https://www.figma.com/proto/KmYxvZZnIxJXbAuP3n39Hb/Web-Application?node-id=114-875&amp;p=f&amp;viewport=1067%2C46%2C0.47&amp;t=DKfFo55Ux5OjYWjw-1&amp;scaling=scale-down&amp;content-scaling=fixed&amp;starting-point-node-id=114%3A875&amp;page-id=6%3A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8"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2" t="s">
        <v>0</v>
      </c>
      <c r="B1" s="12"/>
      <c r="C1" s="12"/>
      <c r="D1" s="12"/>
      <c r="E1" s="12"/>
      <c r="F1" s="12"/>
    </row>
    <row r="2" spans="1:6" ht="33.950000000000003" customHeight="1">
      <c r="A2" s="13" t="s">
        <v>1</v>
      </c>
      <c r="B2" s="13"/>
      <c r="C2" s="13"/>
      <c r="D2" s="13"/>
      <c r="E2" s="13"/>
      <c r="F2" s="13"/>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4" t="s">
        <v>26</v>
      </c>
      <c r="B13" s="14"/>
      <c r="C13" s="14"/>
      <c r="D13" s="14"/>
      <c r="E13" s="14"/>
      <c r="F13" s="14"/>
    </row>
    <row r="14" spans="1:6">
      <c r="A14" s="15" t="s">
        <v>27</v>
      </c>
      <c r="B14" s="15"/>
      <c r="C14" s="15"/>
      <c r="D14" s="15"/>
      <c r="E14" s="15"/>
      <c r="F14" s="15"/>
    </row>
    <row r="15" spans="1:6">
      <c r="A15" s="15"/>
      <c r="B15" s="15"/>
      <c r="C15" s="15"/>
      <c r="D15" s="15"/>
      <c r="E15" s="15"/>
      <c r="F15" s="15"/>
    </row>
    <row r="16" spans="1:6">
      <c r="A16" s="15"/>
      <c r="B16" s="15"/>
      <c r="C16" s="15"/>
      <c r="D16" s="15"/>
      <c r="E16" s="15"/>
      <c r="F16" s="15"/>
    </row>
    <row r="17" spans="1:6">
      <c r="A17" s="15"/>
      <c r="B17" s="15"/>
      <c r="C17" s="15"/>
      <c r="D17" s="15"/>
      <c r="E17" s="15"/>
      <c r="F17" s="15"/>
    </row>
    <row r="18" spans="1:6">
      <c r="A18" s="15"/>
      <c r="B18" s="15"/>
      <c r="C18" s="15"/>
      <c r="D18" s="15"/>
      <c r="E18" s="15"/>
      <c r="F18" s="15"/>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abSelected="1" zoomScale="80" workbookViewId="0">
      <selection activeCell="B13" sqref="B13"/>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2" t="s">
        <v>28</v>
      </c>
      <c r="B1" s="12"/>
      <c r="C1" s="12"/>
      <c r="D1" s="12"/>
      <c r="E1" s="12"/>
      <c r="F1" s="12"/>
      <c r="G1" s="12"/>
      <c r="H1" s="12"/>
    </row>
    <row r="3" spans="1:8" ht="15">
      <c r="A3" s="4" t="s">
        <v>29</v>
      </c>
      <c r="B3" s="5" t="s">
        <v>152</v>
      </c>
      <c r="D3" s="16" t="s">
        <v>30</v>
      </c>
      <c r="E3" s="16"/>
      <c r="F3" s="16"/>
      <c r="G3" s="16"/>
      <c r="H3" s="16"/>
    </row>
    <row r="4" spans="1:8" ht="28.5">
      <c r="A4" s="4" t="s">
        <v>31</v>
      </c>
      <c r="B4" s="5" t="s">
        <v>154</v>
      </c>
      <c r="D4" s="3" t="s">
        <v>32</v>
      </c>
      <c r="E4" s="6">
        <f>COUNTA('Design Progress'!A4:A33)</f>
        <v>12</v>
      </c>
    </row>
    <row r="5" spans="1:8" ht="28.5">
      <c r="A5" s="4" t="s">
        <v>33</v>
      </c>
      <c r="B5" s="5" t="s">
        <v>155</v>
      </c>
      <c r="D5" s="3" t="s">
        <v>34</v>
      </c>
      <c r="E5" s="6">
        <f>COUNTIF('Design Progress'!G4:G33,"Completed")</f>
        <v>12</v>
      </c>
    </row>
    <row r="6" spans="1:8" ht="15">
      <c r="A6" s="4" t="s">
        <v>35</v>
      </c>
      <c r="B6" s="5" t="s">
        <v>153</v>
      </c>
      <c r="D6" s="3" t="s">
        <v>36</v>
      </c>
      <c r="E6" s="6">
        <f>COUNTIF('Design Progress'!G4:G33,"In Progress")</f>
        <v>0</v>
      </c>
    </row>
    <row r="7" spans="1:8" ht="15">
      <c r="A7" s="4" t="s">
        <v>37</v>
      </c>
      <c r="B7" s="5">
        <v>8</v>
      </c>
      <c r="D7" s="3" t="s">
        <v>38</v>
      </c>
      <c r="E7" s="6">
        <f>COUNTIF('Design Progress'!G4:G33,"Blocked")</f>
        <v>0</v>
      </c>
    </row>
    <row r="8" spans="1:8" ht="28.5">
      <c r="A8" s="4" t="s">
        <v>39</v>
      </c>
      <c r="B8" s="11" t="s">
        <v>235</v>
      </c>
      <c r="D8" s="3" t="s">
        <v>40</v>
      </c>
      <c r="E8" s="7">
        <f>IFERROR(AVERAGE('Design Progress'!H4:H33),0)</f>
        <v>1</v>
      </c>
    </row>
    <row r="9" spans="1:8" ht="15">
      <c r="A9" s="4" t="s">
        <v>41</v>
      </c>
      <c r="B9" s="5" t="s">
        <v>227</v>
      </c>
    </row>
    <row r="10" spans="1:8" ht="15">
      <c r="A10" s="4" t="s">
        <v>42</v>
      </c>
      <c r="B10" s="5" t="s">
        <v>34</v>
      </c>
      <c r="D10" s="14" t="s">
        <v>44</v>
      </c>
      <c r="E10" s="14"/>
      <c r="F10" s="14"/>
      <c r="G10" s="14"/>
      <c r="H10" s="14"/>
    </row>
    <row r="11" spans="1:8">
      <c r="D11" s="15" t="s">
        <v>45</v>
      </c>
      <c r="E11" s="15"/>
      <c r="F11" s="15"/>
      <c r="G11" s="15"/>
      <c r="H11" s="15"/>
    </row>
    <row r="12" spans="1:8">
      <c r="D12" s="15"/>
      <c r="E12" s="15"/>
      <c r="F12" s="15"/>
      <c r="G12" s="15"/>
      <c r="H12" s="15"/>
    </row>
    <row r="13" spans="1:8">
      <c r="D13" s="15"/>
      <c r="E13" s="15"/>
      <c r="F13" s="15"/>
      <c r="G13" s="15"/>
      <c r="H13" s="15"/>
    </row>
    <row r="14" spans="1:8">
      <c r="D14" s="15"/>
      <c r="E14" s="15"/>
      <c r="F14" s="15"/>
      <c r="G14" s="15"/>
      <c r="H14" s="15"/>
    </row>
    <row r="15" spans="1:8">
      <c r="D15" s="15"/>
      <c r="E15" s="15"/>
      <c r="F15" s="15"/>
      <c r="G15" s="15"/>
      <c r="H15" s="15"/>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8" r:id="rId1" xr:uid="{1AF9A36B-A6D4-4A46-AB34-32A7EAFB05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zoomScale="56" workbookViewId="0">
      <selection activeCell="I8" sqref="I8"/>
    </sheetView>
  </sheetViews>
  <sheetFormatPr defaultRowHeight="14.25"/>
  <cols>
    <col min="1" max="1" width="11" customWidth="1"/>
    <col min="2" max="2" width="26" customWidth="1"/>
    <col min="3" max="3" width="44" customWidth="1"/>
    <col min="4" max="4" width="25" customWidth="1"/>
    <col min="5" max="5" width="26.875" customWidth="1"/>
    <col min="6" max="7" width="15" customWidth="1"/>
    <col min="8" max="8" width="12" customWidth="1"/>
    <col min="9" max="10" width="34" customWidth="1"/>
  </cols>
  <sheetData>
    <row r="1" spans="1:10" ht="33.950000000000003" customHeight="1">
      <c r="A1" s="12" t="s">
        <v>46</v>
      </c>
      <c r="B1" s="12"/>
      <c r="C1" s="12"/>
      <c r="D1" s="12"/>
      <c r="E1" s="12"/>
      <c r="F1" s="12"/>
      <c r="G1" s="12"/>
      <c r="H1" s="12"/>
      <c r="I1" s="12"/>
      <c r="J1" s="12"/>
    </row>
    <row r="3" spans="1:10" ht="30" customHeight="1">
      <c r="A3" s="1" t="s">
        <v>47</v>
      </c>
      <c r="B3" s="1" t="s">
        <v>48</v>
      </c>
      <c r="C3" s="1" t="s">
        <v>49</v>
      </c>
      <c r="D3" s="1" t="s">
        <v>50</v>
      </c>
      <c r="E3" s="1" t="s">
        <v>51</v>
      </c>
      <c r="F3" s="1" t="s">
        <v>52</v>
      </c>
      <c r="G3" s="1" t="s">
        <v>53</v>
      </c>
      <c r="H3" s="1" t="s">
        <v>54</v>
      </c>
      <c r="I3" s="1" t="s">
        <v>55</v>
      </c>
      <c r="J3" s="1" t="s">
        <v>56</v>
      </c>
    </row>
    <row r="4" spans="1:10" ht="28.5">
      <c r="A4" s="2" t="s">
        <v>57</v>
      </c>
      <c r="B4" s="2" t="s">
        <v>58</v>
      </c>
      <c r="C4" s="2" t="s">
        <v>59</v>
      </c>
      <c r="D4" s="5" t="s">
        <v>162</v>
      </c>
      <c r="E4" s="10">
        <v>46280</v>
      </c>
      <c r="F4" s="10">
        <v>46282</v>
      </c>
      <c r="G4" s="5" t="s">
        <v>34</v>
      </c>
      <c r="H4" s="8">
        <v>1</v>
      </c>
      <c r="I4" s="5" t="s">
        <v>235</v>
      </c>
      <c r="J4" s="5"/>
    </row>
    <row r="5" spans="1:10" ht="28.5">
      <c r="A5" s="2" t="s">
        <v>60</v>
      </c>
      <c r="B5" s="2" t="s">
        <v>61</v>
      </c>
      <c r="C5" s="2" t="s">
        <v>62</v>
      </c>
      <c r="D5" s="5" t="s">
        <v>158</v>
      </c>
      <c r="E5" s="10">
        <v>46283</v>
      </c>
      <c r="F5" s="10">
        <v>46290</v>
      </c>
      <c r="G5" s="5" t="s">
        <v>34</v>
      </c>
      <c r="H5" s="8">
        <v>1</v>
      </c>
      <c r="I5" s="5"/>
      <c r="J5" s="5"/>
    </row>
    <row r="6" spans="1:10">
      <c r="A6" s="2" t="s">
        <v>63</v>
      </c>
      <c r="B6" s="2" t="s">
        <v>64</v>
      </c>
      <c r="C6" s="2" t="s">
        <v>65</v>
      </c>
      <c r="D6" s="5" t="s">
        <v>194</v>
      </c>
      <c r="E6" s="10">
        <v>46283</v>
      </c>
      <c r="F6" s="10">
        <v>46290</v>
      </c>
      <c r="G6" s="5" t="s">
        <v>34</v>
      </c>
      <c r="H6" s="8">
        <v>1</v>
      </c>
      <c r="I6" s="5"/>
      <c r="J6" s="5"/>
    </row>
    <row r="7" spans="1:10">
      <c r="A7" s="2" t="s">
        <v>66</v>
      </c>
      <c r="B7" s="2" t="s">
        <v>67</v>
      </c>
      <c r="C7" s="2" t="s">
        <v>68</v>
      </c>
      <c r="D7" s="5" t="s">
        <v>194</v>
      </c>
      <c r="E7" s="10">
        <v>46283</v>
      </c>
      <c r="F7" s="10">
        <v>46290</v>
      </c>
      <c r="G7" s="5" t="s">
        <v>34</v>
      </c>
      <c r="H7" s="8">
        <v>1</v>
      </c>
      <c r="I7" s="5"/>
      <c r="J7" s="5"/>
    </row>
    <row r="8" spans="1:10" ht="28.5">
      <c r="A8" s="2" t="s">
        <v>69</v>
      </c>
      <c r="B8" s="2" t="s">
        <v>70</v>
      </c>
      <c r="C8" s="2" t="s">
        <v>71</v>
      </c>
      <c r="D8" s="5" t="s">
        <v>159</v>
      </c>
      <c r="E8" s="10">
        <v>46290</v>
      </c>
      <c r="F8" s="10">
        <v>46295</v>
      </c>
      <c r="G8" s="5" t="s">
        <v>34</v>
      </c>
      <c r="H8" s="8">
        <v>1</v>
      </c>
      <c r="I8" s="5"/>
      <c r="J8" s="5"/>
    </row>
    <row r="9" spans="1:10" ht="28.5">
      <c r="A9" s="2" t="s">
        <v>72</v>
      </c>
      <c r="B9" s="2" t="s">
        <v>73</v>
      </c>
      <c r="C9" s="2" t="s">
        <v>74</v>
      </c>
      <c r="D9" s="5" t="s">
        <v>156</v>
      </c>
      <c r="E9" s="10">
        <v>46321</v>
      </c>
      <c r="F9" s="10">
        <v>46300</v>
      </c>
      <c r="G9" s="5" t="s">
        <v>34</v>
      </c>
      <c r="H9" s="8">
        <v>1</v>
      </c>
      <c r="I9" s="5"/>
      <c r="J9" s="5"/>
    </row>
    <row r="10" spans="1:10" ht="28.5">
      <c r="A10" s="2" t="s">
        <v>75</v>
      </c>
      <c r="B10" s="2" t="s">
        <v>76</v>
      </c>
      <c r="C10" s="2" t="s">
        <v>77</v>
      </c>
      <c r="D10" s="5" t="s">
        <v>157</v>
      </c>
      <c r="E10" s="10">
        <v>46278</v>
      </c>
      <c r="F10" s="10">
        <v>46301</v>
      </c>
      <c r="G10" s="5" t="s">
        <v>34</v>
      </c>
      <c r="H10" s="8">
        <v>1</v>
      </c>
      <c r="I10" s="5"/>
      <c r="J10" s="5"/>
    </row>
    <row r="11" spans="1:10" ht="28.5">
      <c r="A11" s="2" t="s">
        <v>78</v>
      </c>
      <c r="B11" s="2" t="s">
        <v>79</v>
      </c>
      <c r="C11" s="2" t="s">
        <v>80</v>
      </c>
      <c r="D11" s="5" t="s">
        <v>195</v>
      </c>
      <c r="E11" s="10">
        <v>46296</v>
      </c>
      <c r="F11" s="10">
        <v>46297</v>
      </c>
      <c r="G11" s="5" t="s">
        <v>34</v>
      </c>
      <c r="H11" s="8">
        <v>1</v>
      </c>
      <c r="I11" s="5"/>
      <c r="J11" s="5"/>
    </row>
    <row r="12" spans="1:10" ht="28.5">
      <c r="A12" s="2" t="s">
        <v>81</v>
      </c>
      <c r="B12" s="2" t="s">
        <v>82</v>
      </c>
      <c r="C12" s="2" t="s">
        <v>83</v>
      </c>
      <c r="D12" s="5" t="s">
        <v>166</v>
      </c>
      <c r="E12" s="10">
        <v>46307</v>
      </c>
      <c r="F12" s="10">
        <v>46307</v>
      </c>
      <c r="G12" s="5" t="s">
        <v>34</v>
      </c>
      <c r="H12" s="8">
        <v>1</v>
      </c>
      <c r="I12" s="5"/>
      <c r="J12" s="5"/>
    </row>
    <row r="13" spans="1:10" ht="28.5">
      <c r="A13" s="2" t="s">
        <v>84</v>
      </c>
      <c r="B13" s="2" t="s">
        <v>85</v>
      </c>
      <c r="C13" s="2" t="s">
        <v>86</v>
      </c>
      <c r="D13" s="5" t="s">
        <v>167</v>
      </c>
      <c r="E13" s="10">
        <v>46280</v>
      </c>
      <c r="F13" s="10">
        <v>46308</v>
      </c>
      <c r="G13" s="5" t="s">
        <v>34</v>
      </c>
      <c r="H13" s="8">
        <v>1</v>
      </c>
      <c r="I13" s="5"/>
      <c r="J13" s="5"/>
    </row>
    <row r="14" spans="1:10" ht="28.5">
      <c r="A14" s="2" t="s">
        <v>87</v>
      </c>
      <c r="B14" s="2" t="s">
        <v>88</v>
      </c>
      <c r="C14" s="2" t="s">
        <v>89</v>
      </c>
      <c r="D14" s="5" t="s">
        <v>153</v>
      </c>
      <c r="E14" s="10">
        <v>46304</v>
      </c>
      <c r="F14" s="10">
        <v>46308</v>
      </c>
      <c r="G14" s="5" t="s">
        <v>34</v>
      </c>
      <c r="H14" s="8">
        <v>1</v>
      </c>
      <c r="I14" s="5"/>
      <c r="J14" s="5"/>
    </row>
    <row r="15" spans="1:10" ht="57">
      <c r="A15" s="2" t="s">
        <v>90</v>
      </c>
      <c r="B15" s="2" t="s">
        <v>91</v>
      </c>
      <c r="C15" s="2" t="s">
        <v>92</v>
      </c>
      <c r="D15" s="5" t="s">
        <v>185</v>
      </c>
      <c r="E15" s="10">
        <v>46309</v>
      </c>
      <c r="F15" s="10">
        <v>46310</v>
      </c>
      <c r="G15" s="5" t="s">
        <v>34</v>
      </c>
      <c r="H15" s="8">
        <v>1</v>
      </c>
      <c r="I15" s="5"/>
      <c r="J15" s="5"/>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A5" zoomScale="87" workbookViewId="0">
      <selection activeCell="H7" sqref="H7"/>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2" t="s">
        <v>93</v>
      </c>
      <c r="B1" s="12"/>
      <c r="C1" s="12"/>
      <c r="D1" s="12"/>
      <c r="E1" s="12"/>
      <c r="F1" s="12"/>
      <c r="G1" s="12"/>
      <c r="H1" s="12"/>
      <c r="I1" s="12"/>
      <c r="J1" s="12"/>
      <c r="K1" s="12"/>
      <c r="L1" s="12"/>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ht="57">
      <c r="A4" s="5" t="s">
        <v>153</v>
      </c>
      <c r="B4" s="5">
        <v>223039784</v>
      </c>
      <c r="C4" s="5" t="s">
        <v>171</v>
      </c>
      <c r="D4" s="5" t="s">
        <v>175</v>
      </c>
      <c r="E4" s="5" t="s">
        <v>186</v>
      </c>
      <c r="F4" s="10">
        <v>46307</v>
      </c>
      <c r="G4" s="5" t="s">
        <v>221</v>
      </c>
      <c r="H4" s="5"/>
      <c r="I4" s="5" t="s">
        <v>184</v>
      </c>
      <c r="J4" s="10">
        <v>46286</v>
      </c>
      <c r="K4" s="5"/>
      <c r="L4" s="5" t="s">
        <v>34</v>
      </c>
    </row>
    <row r="5" spans="1:12" ht="57">
      <c r="A5" s="5" t="s">
        <v>160</v>
      </c>
      <c r="B5" s="5">
        <v>224097774</v>
      </c>
      <c r="C5" s="5" t="s">
        <v>176</v>
      </c>
      <c r="D5" s="5" t="s">
        <v>177</v>
      </c>
      <c r="E5" s="5" t="s">
        <v>187</v>
      </c>
      <c r="F5" s="10">
        <v>46307</v>
      </c>
      <c r="G5" s="5" t="s">
        <v>219</v>
      </c>
      <c r="H5" s="5"/>
      <c r="I5" s="5" t="s">
        <v>184</v>
      </c>
      <c r="J5" s="10">
        <v>46307</v>
      </c>
      <c r="K5" s="5"/>
      <c r="L5" s="5" t="s">
        <v>34</v>
      </c>
    </row>
    <row r="6" spans="1:12" ht="28.5">
      <c r="A6" s="5" t="s">
        <v>161</v>
      </c>
      <c r="B6" s="5">
        <v>224135694</v>
      </c>
      <c r="C6" s="5" t="s">
        <v>170</v>
      </c>
      <c r="D6" s="5" t="s">
        <v>181</v>
      </c>
      <c r="E6" s="5" t="s">
        <v>188</v>
      </c>
      <c r="F6" s="10">
        <v>46302</v>
      </c>
      <c r="G6" s="5" t="s">
        <v>220</v>
      </c>
      <c r="H6" s="5"/>
      <c r="I6" s="5" t="s">
        <v>184</v>
      </c>
      <c r="J6" s="10">
        <v>46304</v>
      </c>
      <c r="K6" s="5"/>
      <c r="L6" s="5" t="s">
        <v>34</v>
      </c>
    </row>
    <row r="7" spans="1:12" ht="42.75">
      <c r="A7" s="5" t="s">
        <v>162</v>
      </c>
      <c r="B7" s="5">
        <v>222056708</v>
      </c>
      <c r="C7" s="5" t="s">
        <v>172</v>
      </c>
      <c r="D7" s="5" t="s">
        <v>178</v>
      </c>
      <c r="E7" s="5" t="s">
        <v>189</v>
      </c>
      <c r="F7" s="10">
        <v>46283</v>
      </c>
      <c r="G7" s="5" t="s">
        <v>222</v>
      </c>
      <c r="H7" s="5"/>
      <c r="I7" s="5" t="s">
        <v>184</v>
      </c>
      <c r="J7" s="10">
        <v>46286</v>
      </c>
      <c r="K7" s="5"/>
      <c r="L7" s="5" t="s">
        <v>34</v>
      </c>
    </row>
    <row r="8" spans="1:12" ht="57">
      <c r="A8" s="5" t="s">
        <v>159</v>
      </c>
      <c r="B8" s="5">
        <v>222088478</v>
      </c>
      <c r="C8" s="5" t="s">
        <v>173</v>
      </c>
      <c r="D8" s="5" t="s">
        <v>179</v>
      </c>
      <c r="E8" s="5" t="s">
        <v>190</v>
      </c>
      <c r="F8" s="10">
        <v>46295</v>
      </c>
      <c r="G8" s="5" t="s">
        <v>219</v>
      </c>
      <c r="H8" s="5"/>
      <c r="I8" s="5" t="s">
        <v>184</v>
      </c>
      <c r="J8" s="10">
        <v>46297</v>
      </c>
      <c r="K8" s="5"/>
      <c r="L8" s="5" t="s">
        <v>34</v>
      </c>
    </row>
    <row r="9" spans="1:12" ht="71.25">
      <c r="A9" s="5" t="s">
        <v>163</v>
      </c>
      <c r="B9" s="5">
        <v>222001607</v>
      </c>
      <c r="C9" s="5" t="s">
        <v>174</v>
      </c>
      <c r="D9" s="5" t="s">
        <v>180</v>
      </c>
      <c r="E9" s="5" t="s">
        <v>191</v>
      </c>
      <c r="F9" s="10">
        <v>46290</v>
      </c>
      <c r="G9" s="5" t="s">
        <v>221</v>
      </c>
      <c r="H9" s="5"/>
      <c r="I9" s="5" t="s">
        <v>184</v>
      </c>
      <c r="J9" s="10">
        <v>46293</v>
      </c>
      <c r="K9" s="5"/>
      <c r="L9" s="5" t="s">
        <v>34</v>
      </c>
    </row>
    <row r="10" spans="1:12" ht="42.75">
      <c r="A10" s="5" t="s">
        <v>164</v>
      </c>
      <c r="B10" s="5">
        <v>223043636</v>
      </c>
      <c r="C10" s="5" t="s">
        <v>170</v>
      </c>
      <c r="D10" s="5" t="s">
        <v>182</v>
      </c>
      <c r="E10" s="5" t="s">
        <v>192</v>
      </c>
      <c r="F10" s="10">
        <v>46302</v>
      </c>
      <c r="G10" s="5" t="s">
        <v>220</v>
      </c>
      <c r="H10" s="5"/>
      <c r="I10" s="5" t="s">
        <v>184</v>
      </c>
      <c r="J10" s="10">
        <v>46307</v>
      </c>
      <c r="K10" s="5"/>
      <c r="L10" s="5" t="s">
        <v>34</v>
      </c>
    </row>
    <row r="11" spans="1:12" ht="57">
      <c r="A11" s="5" t="s">
        <v>165</v>
      </c>
      <c r="B11" s="5">
        <v>224130045</v>
      </c>
      <c r="C11" s="5" t="s">
        <v>169</v>
      </c>
      <c r="D11" s="5" t="s">
        <v>183</v>
      </c>
      <c r="E11" s="5" t="s">
        <v>193</v>
      </c>
      <c r="F11" s="10">
        <v>46308</v>
      </c>
      <c r="G11" s="5" t="s">
        <v>223</v>
      </c>
      <c r="H11" s="5"/>
      <c r="I11" s="5" t="s">
        <v>184</v>
      </c>
      <c r="J11" s="10">
        <v>46307</v>
      </c>
      <c r="K11" s="5"/>
      <c r="L11" s="5" t="s">
        <v>34</v>
      </c>
    </row>
    <row r="12" spans="1:12">
      <c r="A12" s="5"/>
      <c r="B12" s="5"/>
      <c r="C12" s="5"/>
      <c r="D12" s="5"/>
      <c r="E12" s="5"/>
      <c r="F12" s="5"/>
      <c r="G12" s="5"/>
      <c r="H12" s="5"/>
      <c r="I12" s="5" t="s">
        <v>105</v>
      </c>
      <c r="J12" s="5"/>
      <c r="K12" s="5"/>
      <c r="L12" s="5" t="s">
        <v>43</v>
      </c>
    </row>
    <row r="13" spans="1:12">
      <c r="A13" s="5"/>
      <c r="B13" s="5"/>
      <c r="C13" s="5"/>
      <c r="D13" s="5"/>
      <c r="E13" s="5"/>
      <c r="F13" s="5"/>
      <c r="G13" s="5"/>
      <c r="H13" s="5"/>
      <c r="I13" s="5" t="s">
        <v>105</v>
      </c>
      <c r="J13" s="5"/>
      <c r="K13" s="5"/>
      <c r="L13" s="5" t="s">
        <v>43</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zoomScale="79" workbookViewId="0">
      <selection activeCell="E11" sqref="E11"/>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2" t="s">
        <v>106</v>
      </c>
      <c r="B1" s="12"/>
      <c r="C1" s="12"/>
      <c r="D1" s="12"/>
      <c r="E1" s="12"/>
      <c r="F1" s="12"/>
      <c r="G1" s="12"/>
      <c r="H1" s="12"/>
    </row>
    <row r="3" spans="1:8" ht="30" customHeight="1">
      <c r="A3" s="1" t="s">
        <v>107</v>
      </c>
      <c r="B3" s="1" t="s">
        <v>108</v>
      </c>
      <c r="C3" s="1" t="s">
        <v>109</v>
      </c>
      <c r="D3" s="1" t="s">
        <v>110</v>
      </c>
      <c r="E3" s="1" t="s">
        <v>111</v>
      </c>
      <c r="F3" s="1" t="s">
        <v>112</v>
      </c>
      <c r="G3" s="1" t="s">
        <v>113</v>
      </c>
      <c r="H3" s="1" t="s">
        <v>114</v>
      </c>
    </row>
    <row r="4" spans="1:8">
      <c r="A4" t="s">
        <v>58</v>
      </c>
      <c r="B4" s="5" t="s">
        <v>168</v>
      </c>
      <c r="C4" s="5" t="s">
        <v>238</v>
      </c>
      <c r="D4" s="5" t="s">
        <v>184</v>
      </c>
      <c r="E4" s="10">
        <v>46308</v>
      </c>
      <c r="F4" s="5" t="s">
        <v>162</v>
      </c>
      <c r="G4" s="5" t="s">
        <v>184</v>
      </c>
      <c r="H4" s="5"/>
    </row>
    <row r="5" spans="1:8">
      <c r="A5" t="s">
        <v>61</v>
      </c>
      <c r="B5" s="5" t="s">
        <v>168</v>
      </c>
      <c r="C5" s="5" t="s">
        <v>238</v>
      </c>
      <c r="D5" s="5" t="s">
        <v>184</v>
      </c>
      <c r="E5" s="10">
        <v>46308</v>
      </c>
      <c r="F5" s="5" t="s">
        <v>163</v>
      </c>
      <c r="G5" s="5" t="s">
        <v>184</v>
      </c>
      <c r="H5" s="5"/>
    </row>
    <row r="6" spans="1:8">
      <c r="A6" t="s">
        <v>64</v>
      </c>
      <c r="B6" s="5" t="s">
        <v>168</v>
      </c>
      <c r="C6" s="5" t="s">
        <v>238</v>
      </c>
      <c r="D6" s="5" t="s">
        <v>184</v>
      </c>
      <c r="E6" s="10">
        <v>46308</v>
      </c>
      <c r="F6" s="5" t="s">
        <v>159</v>
      </c>
      <c r="G6" s="5" t="s">
        <v>184</v>
      </c>
      <c r="H6" s="5"/>
    </row>
    <row r="7" spans="1:8">
      <c r="A7" t="s">
        <v>67</v>
      </c>
      <c r="B7" s="5" t="s">
        <v>168</v>
      </c>
      <c r="C7" s="5" t="s">
        <v>238</v>
      </c>
      <c r="D7" s="5" t="s">
        <v>184</v>
      </c>
      <c r="E7" s="10">
        <v>46308</v>
      </c>
      <c r="F7" s="5" t="s">
        <v>159</v>
      </c>
      <c r="G7" s="5" t="s">
        <v>184</v>
      </c>
      <c r="H7" s="5"/>
    </row>
    <row r="8" spans="1:8">
      <c r="A8" t="s">
        <v>70</v>
      </c>
      <c r="B8" s="5" t="s">
        <v>168</v>
      </c>
      <c r="C8" s="5" t="s">
        <v>238</v>
      </c>
      <c r="D8" s="5" t="s">
        <v>184</v>
      </c>
      <c r="E8" s="10">
        <v>46308</v>
      </c>
      <c r="F8" s="5" t="s">
        <v>159</v>
      </c>
      <c r="G8" s="5" t="s">
        <v>184</v>
      </c>
      <c r="H8" s="5"/>
    </row>
    <row r="9" spans="1:8" ht="28.5">
      <c r="A9" t="s">
        <v>73</v>
      </c>
      <c r="B9" s="5" t="s">
        <v>236</v>
      </c>
      <c r="C9" s="5" t="s">
        <v>239</v>
      </c>
      <c r="D9" s="5" t="s">
        <v>184</v>
      </c>
      <c r="E9" s="10">
        <v>46308</v>
      </c>
      <c r="F9" s="5" t="s">
        <v>224</v>
      </c>
      <c r="G9" s="5" t="s">
        <v>184</v>
      </c>
      <c r="H9" s="5"/>
    </row>
    <row r="10" spans="1:8" ht="28.5">
      <c r="A10" t="s">
        <v>76</v>
      </c>
      <c r="B10" s="5" t="s">
        <v>236</v>
      </c>
      <c r="C10" s="5" t="s">
        <v>240</v>
      </c>
      <c r="D10" s="5" t="s">
        <v>184</v>
      </c>
      <c r="E10" s="10">
        <v>46308</v>
      </c>
      <c r="F10" s="5" t="s">
        <v>225</v>
      </c>
      <c r="G10" s="5" t="s">
        <v>184</v>
      </c>
      <c r="H10" s="5"/>
    </row>
    <row r="11" spans="1:8" ht="42.75">
      <c r="A11" t="s">
        <v>115</v>
      </c>
      <c r="B11" s="5" t="s">
        <v>237</v>
      </c>
      <c r="C11" s="5" t="s">
        <v>241</v>
      </c>
      <c r="D11" s="5" t="s">
        <v>184</v>
      </c>
      <c r="E11" s="10">
        <v>46308</v>
      </c>
      <c r="F11" s="5" t="s">
        <v>226</v>
      </c>
      <c r="G11" s="5" t="s">
        <v>184</v>
      </c>
      <c r="H11" s="5"/>
    </row>
  </sheetData>
  <mergeCells count="1">
    <mergeCell ref="A1:H1"/>
  </mergeCells>
  <dataValidations count="1">
    <dataValidation type="list" sqref="G4:G11 D4:D11" xr:uid="{00000000-0002-0000-0400-000000000000}">
      <formula1>"Yes,No"</formula1>
    </dataValidation>
  </dataValidations>
  <hyperlinks>
    <hyperlink ref="C5:C8" r:id="rId1" display="https://www.figma.com/design/KmYxvZZnIxJXbAuP3n39Hb/Web-Application?node-id=0-1&amp;t=3dOsxBqq1SLu06n5-0" xr:uid="{6CC170B6-AEA6-49BD-949C-A301EF929F61}"/>
    <hyperlink ref="C4:C7" r:id="rId2" display="https://www.figma.com/design/KmYxvZZnIxJXbAuP3n39Hb/Web-Application?node-id=0-1&amp;t=3dOsxBqq1SLu06n5-0" xr:uid="{40674E7E-5B10-4F19-8737-AD8649742F9B}"/>
    <hyperlink ref="C9" r:id="rId3" display="https://www.figma.com/proto/H0fkapW22cNvwNadtpKjip/Mobile?node-id=72-2&amp;p=f&amp;t=IJKiFTTGSL0aGauq-1&amp;scaling=scale-down&amp;content-scaling=fixed&amp;page-id=61%3A544&amp;starting-point-node-id=72%3A2" xr:uid="{D5A04064-29CB-45E5-9E67-DD1034BCEEEF}"/>
    <hyperlink ref="C10" r:id="rId4" display="https://www.figma.com/proto/KmYxvZZnIxJXbAuP3n39Hb/Web-Application?node-id=114-875&amp;p=f&amp;viewport=1067%2C46%2C0.47&amp;t=DKfFo55Ux5OjYWjw-1&amp;scaling=scale-down&amp;content-scaling=fixed&amp;starting-point-node-id=114%3A875&amp;page-id=6%3A15" xr:uid="{5F954421-C1DA-43F3-8424-6894E1431E72}"/>
    <hyperlink ref="C11" r:id="rId5" xr:uid="{ABF060AA-85EE-4F1C-A27D-0287D6B626B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B5" zoomScale="75" workbookViewId="0">
      <selection activeCell="F7" sqref="F7"/>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2" t="s">
        <v>116</v>
      </c>
      <c r="B1" s="12"/>
      <c r="C1" s="12"/>
      <c r="D1" s="12"/>
      <c r="E1" s="12"/>
      <c r="F1" s="12"/>
      <c r="G1" s="12"/>
      <c r="H1" s="12"/>
      <c r="I1" s="12"/>
    </row>
    <row r="3" spans="1:9" ht="30" customHeight="1">
      <c r="A3" s="1" t="s">
        <v>117</v>
      </c>
      <c r="B3" s="1" t="s">
        <v>118</v>
      </c>
      <c r="C3" s="1" t="s">
        <v>119</v>
      </c>
      <c r="D3" s="1" t="s">
        <v>120</v>
      </c>
      <c r="E3" s="1" t="s">
        <v>112</v>
      </c>
      <c r="F3" s="1" t="s">
        <v>121</v>
      </c>
      <c r="G3" s="1" t="s">
        <v>53</v>
      </c>
      <c r="H3" s="1" t="s">
        <v>122</v>
      </c>
      <c r="I3" s="1" t="s">
        <v>114</v>
      </c>
    </row>
    <row r="4" spans="1:9" ht="42.75">
      <c r="A4" s="10">
        <v>46284</v>
      </c>
      <c r="B4" s="5" t="s">
        <v>198</v>
      </c>
      <c r="C4" s="5" t="s">
        <v>196</v>
      </c>
      <c r="D4" s="5" t="s">
        <v>197</v>
      </c>
      <c r="E4" s="5" t="s">
        <v>153</v>
      </c>
      <c r="F4" s="10">
        <v>46284</v>
      </c>
      <c r="G4" s="5" t="s">
        <v>34</v>
      </c>
      <c r="H4" s="10">
        <v>46285</v>
      </c>
      <c r="I4" s="5"/>
    </row>
    <row r="5" spans="1:9" ht="57">
      <c r="A5" s="10">
        <v>46286</v>
      </c>
      <c r="B5" s="5" t="s">
        <v>199</v>
      </c>
      <c r="C5" s="5" t="s">
        <v>200</v>
      </c>
      <c r="D5" s="5" t="s">
        <v>201</v>
      </c>
      <c r="E5" s="5" t="s">
        <v>202</v>
      </c>
      <c r="F5" s="10">
        <v>46297</v>
      </c>
      <c r="G5" s="5" t="s">
        <v>34</v>
      </c>
      <c r="H5" s="10">
        <v>46302</v>
      </c>
      <c r="I5" s="5"/>
    </row>
    <row r="6" spans="1:9" ht="57">
      <c r="A6" s="10">
        <v>46291</v>
      </c>
      <c r="B6" s="5" t="s">
        <v>203</v>
      </c>
      <c r="C6" s="5" t="s">
        <v>204</v>
      </c>
      <c r="D6" s="5" t="s">
        <v>205</v>
      </c>
      <c r="E6" s="5" t="s">
        <v>206</v>
      </c>
      <c r="F6" s="10">
        <v>46321</v>
      </c>
      <c r="G6" s="5" t="s">
        <v>34</v>
      </c>
      <c r="H6" s="10">
        <v>46300</v>
      </c>
      <c r="I6" s="5"/>
    </row>
    <row r="7" spans="1:9" ht="42.75">
      <c r="A7" s="10">
        <v>46304</v>
      </c>
      <c r="B7" s="5" t="s">
        <v>207</v>
      </c>
      <c r="C7" s="5" t="s">
        <v>208</v>
      </c>
      <c r="D7" s="5" t="s">
        <v>209</v>
      </c>
      <c r="E7" s="5" t="s">
        <v>153</v>
      </c>
      <c r="F7" s="10">
        <v>46300</v>
      </c>
      <c r="G7" s="5" t="s">
        <v>34</v>
      </c>
      <c r="H7" s="10">
        <v>46307</v>
      </c>
      <c r="I7" s="5"/>
    </row>
    <row r="8" spans="1:9" ht="71.25">
      <c r="A8" s="10">
        <v>46293</v>
      </c>
      <c r="B8" s="5" t="s">
        <v>210</v>
      </c>
      <c r="C8" s="5" t="s">
        <v>211</v>
      </c>
      <c r="D8" s="5" t="s">
        <v>212</v>
      </c>
      <c r="E8" s="5" t="s">
        <v>153</v>
      </c>
      <c r="F8" s="10">
        <v>46297</v>
      </c>
      <c r="G8" s="5" t="s">
        <v>34</v>
      </c>
      <c r="H8" s="10">
        <v>46304</v>
      </c>
      <c r="I8" s="5"/>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topLeftCell="A9" zoomScale="89" zoomScaleNormal="100" workbookViewId="0">
      <selection activeCell="B3" sqref="B3:C3"/>
    </sheetView>
  </sheetViews>
  <sheetFormatPr defaultRowHeight="14.25"/>
  <cols>
    <col min="1" max="1" width="38" customWidth="1"/>
    <col min="2" max="3" width="34" customWidth="1"/>
    <col min="4" max="4" width="4" customWidth="1"/>
    <col min="5" max="5" width="38" customWidth="1"/>
    <col min="6" max="6" width="14" customWidth="1"/>
  </cols>
  <sheetData>
    <row r="1" spans="1:6" ht="33.950000000000003" customHeight="1">
      <c r="A1" s="12" t="s">
        <v>30</v>
      </c>
      <c r="B1" s="12"/>
      <c r="C1" s="12"/>
      <c r="D1" s="12"/>
      <c r="E1" s="12"/>
      <c r="F1" s="12"/>
    </row>
    <row r="3" spans="1:6" ht="30" customHeight="1">
      <c r="A3" s="4" t="s">
        <v>41</v>
      </c>
      <c r="B3" s="17" t="s">
        <v>227</v>
      </c>
      <c r="C3" s="17"/>
      <c r="E3" s="1" t="s">
        <v>123</v>
      </c>
      <c r="F3" s="1" t="s">
        <v>124</v>
      </c>
    </row>
    <row r="4" spans="1:6" ht="15">
      <c r="A4" s="4" t="s">
        <v>42</v>
      </c>
      <c r="B4" s="17" t="s">
        <v>34</v>
      </c>
      <c r="C4" s="17"/>
      <c r="E4" t="s">
        <v>125</v>
      </c>
      <c r="F4" s="5" t="s">
        <v>184</v>
      </c>
    </row>
    <row r="5" spans="1:6" ht="38.25" customHeight="1">
      <c r="A5" s="4" t="s">
        <v>126</v>
      </c>
      <c r="B5" s="17" t="s">
        <v>228</v>
      </c>
      <c r="C5" s="17"/>
      <c r="E5" t="s">
        <v>127</v>
      </c>
      <c r="F5" s="5" t="s">
        <v>184</v>
      </c>
    </row>
    <row r="6" spans="1:6" ht="20.25" customHeight="1">
      <c r="A6" s="4" t="s">
        <v>128</v>
      </c>
      <c r="B6" s="17" t="s">
        <v>229</v>
      </c>
      <c r="C6" s="17"/>
      <c r="E6" t="s">
        <v>129</v>
      </c>
      <c r="F6" s="5" t="s">
        <v>184</v>
      </c>
    </row>
    <row r="7" spans="1:6" ht="22.5" customHeight="1">
      <c r="A7" s="4" t="s">
        <v>130</v>
      </c>
      <c r="B7" s="17" t="s">
        <v>230</v>
      </c>
      <c r="C7" s="17"/>
      <c r="E7" t="s">
        <v>131</v>
      </c>
      <c r="F7" s="5" t="s">
        <v>184</v>
      </c>
    </row>
    <row r="8" spans="1:6" ht="31.5" customHeight="1">
      <c r="A8" s="4" t="s">
        <v>132</v>
      </c>
      <c r="B8" s="17" t="s">
        <v>231</v>
      </c>
      <c r="C8" s="17"/>
      <c r="E8" t="s">
        <v>133</v>
      </c>
      <c r="F8" s="5" t="s">
        <v>184</v>
      </c>
    </row>
    <row r="9" spans="1:6" ht="35.25" customHeight="1">
      <c r="A9" s="4" t="s">
        <v>134</v>
      </c>
      <c r="B9" s="17" t="s">
        <v>232</v>
      </c>
      <c r="C9" s="17"/>
      <c r="E9" t="s">
        <v>135</v>
      </c>
      <c r="F9" s="5" t="s">
        <v>184</v>
      </c>
    </row>
    <row r="10" spans="1:6" ht="36.75" customHeight="1">
      <c r="A10" s="4" t="s">
        <v>136</v>
      </c>
      <c r="B10" s="17" t="s">
        <v>233</v>
      </c>
      <c r="C10" s="17"/>
      <c r="E10" t="s">
        <v>137</v>
      </c>
      <c r="F10" s="5" t="s">
        <v>184</v>
      </c>
    </row>
    <row r="11" spans="1:6" ht="40.5" customHeight="1">
      <c r="A11" s="4" t="s">
        <v>138</v>
      </c>
      <c r="B11" s="17" t="s">
        <v>234</v>
      </c>
      <c r="C11" s="17"/>
      <c r="E11" t="s">
        <v>139</v>
      </c>
      <c r="F11" s="5" t="s">
        <v>184</v>
      </c>
    </row>
    <row r="12" spans="1:6">
      <c r="E12" t="s">
        <v>140</v>
      </c>
      <c r="F12" s="5" t="s">
        <v>184</v>
      </c>
    </row>
    <row r="13" spans="1:6">
      <c r="E13" t="s">
        <v>141</v>
      </c>
      <c r="F13" s="5" t="s">
        <v>105</v>
      </c>
    </row>
    <row r="14" spans="1:6">
      <c r="E14" t="s">
        <v>142</v>
      </c>
      <c r="F14" s="5" t="s">
        <v>184</v>
      </c>
    </row>
    <row r="15" spans="1:6">
      <c r="E15" t="s">
        <v>143</v>
      </c>
      <c r="F15" s="5" t="s">
        <v>184</v>
      </c>
    </row>
    <row r="16" spans="1:6">
      <c r="E16" t="s">
        <v>144</v>
      </c>
      <c r="F16" s="5" t="s">
        <v>184</v>
      </c>
    </row>
  </sheetData>
  <mergeCells count="10">
    <mergeCell ref="B7:C7"/>
    <mergeCell ref="B8:C8"/>
    <mergeCell ref="B9:C9"/>
    <mergeCell ref="B10:C10"/>
    <mergeCell ref="B11:C11"/>
    <mergeCell ref="A1:F1"/>
    <mergeCell ref="B3:C3"/>
    <mergeCell ref="B4:C4"/>
    <mergeCell ref="B5:C5"/>
    <mergeCell ref="B6:C6"/>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5"/>
  <sheetViews>
    <sheetView zoomScale="93" workbookViewId="0">
      <selection activeCell="A11" sqref="A11:F11"/>
    </sheetView>
  </sheetViews>
  <sheetFormatPr defaultRowHeight="14.25"/>
  <cols>
    <col min="1" max="6" width="24" customWidth="1"/>
  </cols>
  <sheetData>
    <row r="1" spans="1:12" ht="33.950000000000003" customHeight="1">
      <c r="A1" s="12" t="s">
        <v>145</v>
      </c>
      <c r="B1" s="12"/>
      <c r="C1" s="12"/>
      <c r="D1" s="12"/>
      <c r="E1" s="12"/>
      <c r="F1" s="12"/>
    </row>
    <row r="3" spans="1:12" ht="27.95" customHeight="1">
      <c r="A3" s="18" t="s">
        <v>146</v>
      </c>
      <c r="B3" s="18"/>
      <c r="C3" s="18"/>
      <c r="D3" s="18"/>
      <c r="E3" s="18"/>
      <c r="F3" s="18"/>
    </row>
    <row r="4" spans="1:12" ht="52.5" customHeight="1">
      <c r="A4" s="19" t="s">
        <v>213</v>
      </c>
      <c r="B4" s="19"/>
      <c r="C4" s="19"/>
      <c r="D4" s="19"/>
      <c r="E4" s="19"/>
      <c r="F4" s="19"/>
    </row>
    <row r="5" spans="1:12" ht="57" customHeight="1">
      <c r="A5" s="19"/>
      <c r="B5" s="19"/>
      <c r="C5" s="19"/>
      <c r="D5" s="19"/>
      <c r="E5" s="19"/>
      <c r="F5" s="19"/>
    </row>
    <row r="6" spans="1:12" ht="30" customHeight="1">
      <c r="A6" s="9"/>
      <c r="B6" s="9"/>
      <c r="C6" s="9"/>
      <c r="D6" s="9"/>
      <c r="E6" s="9"/>
      <c r="F6" s="9"/>
    </row>
    <row r="7" spans="1:12" ht="27.95" customHeight="1">
      <c r="A7" s="20" t="s">
        <v>147</v>
      </c>
      <c r="B7" s="20"/>
      <c r="C7" s="20"/>
      <c r="D7" s="20"/>
      <c r="E7" s="20"/>
      <c r="F7" s="20"/>
    </row>
    <row r="8" spans="1:12" ht="38.1" customHeight="1">
      <c r="A8" s="19" t="s">
        <v>214</v>
      </c>
      <c r="B8" s="19"/>
      <c r="C8" s="19"/>
      <c r="D8" s="19"/>
      <c r="E8" s="19"/>
      <c r="F8" s="19"/>
    </row>
    <row r="9" spans="1:12" ht="31.5" customHeight="1">
      <c r="A9" s="17"/>
      <c r="B9" s="17"/>
      <c r="C9" s="17"/>
      <c r="D9" s="17"/>
      <c r="E9" s="17"/>
      <c r="F9" s="17"/>
    </row>
    <row r="10" spans="1:12" ht="6" customHeight="1">
      <c r="A10" s="5"/>
      <c r="B10" s="5"/>
      <c r="C10" s="5"/>
      <c r="D10" s="5"/>
      <c r="E10" s="5"/>
      <c r="F10" s="5"/>
    </row>
    <row r="11" spans="1:12" ht="34.5" customHeight="1">
      <c r="A11" s="18" t="s">
        <v>148</v>
      </c>
      <c r="B11" s="18"/>
      <c r="C11" s="18"/>
      <c r="D11" s="18"/>
      <c r="E11" s="18"/>
      <c r="F11" s="18"/>
      <c r="G11" s="18"/>
      <c r="H11" s="18"/>
      <c r="I11" s="18"/>
      <c r="J11" s="18"/>
      <c r="K11" s="18"/>
      <c r="L11" s="18"/>
    </row>
    <row r="12" spans="1:12" ht="38.1" customHeight="1">
      <c r="A12" s="19" t="s">
        <v>216</v>
      </c>
      <c r="B12" s="17"/>
      <c r="C12" s="17"/>
      <c r="D12" s="17"/>
      <c r="E12" s="17"/>
      <c r="F12" s="17"/>
    </row>
    <row r="13" spans="1:12" ht="103.5" customHeight="1">
      <c r="A13" s="17"/>
      <c r="B13" s="17"/>
      <c r="C13" s="17"/>
      <c r="D13" s="17"/>
      <c r="E13" s="17"/>
      <c r="F13" s="17"/>
    </row>
    <row r="15" spans="1:12" ht="27.95" customHeight="1">
      <c r="A15" s="18" t="s">
        <v>149</v>
      </c>
      <c r="B15" s="18"/>
      <c r="C15" s="18"/>
      <c r="D15" s="18"/>
      <c r="E15" s="18"/>
      <c r="F15" s="18"/>
    </row>
    <row r="16" spans="1:12" ht="38.1" customHeight="1">
      <c r="A16" s="19" t="s">
        <v>215</v>
      </c>
      <c r="B16" s="17"/>
      <c r="C16" s="17"/>
      <c r="D16" s="17"/>
      <c r="E16" s="17"/>
      <c r="F16" s="17"/>
    </row>
    <row r="17" spans="1:6" ht="122.25" customHeight="1">
      <c r="A17" s="17"/>
      <c r="B17" s="17"/>
      <c r="C17" s="17"/>
      <c r="D17" s="17"/>
      <c r="E17" s="17"/>
      <c r="F17" s="17"/>
    </row>
    <row r="19" spans="1:6" ht="27.95" customHeight="1">
      <c r="A19" s="18" t="s">
        <v>150</v>
      </c>
      <c r="B19" s="18"/>
      <c r="C19" s="18"/>
      <c r="D19" s="18"/>
      <c r="E19" s="18"/>
      <c r="F19" s="18"/>
    </row>
    <row r="20" spans="1:6" ht="38.1" customHeight="1">
      <c r="A20" s="19" t="s">
        <v>218</v>
      </c>
      <c r="B20" s="17"/>
      <c r="C20" s="17"/>
      <c r="D20" s="17"/>
      <c r="E20" s="17"/>
      <c r="F20" s="17"/>
    </row>
    <row r="21" spans="1:6" ht="105.75" customHeight="1">
      <c r="A21" s="17"/>
      <c r="B21" s="17"/>
      <c r="C21" s="17"/>
      <c r="D21" s="17"/>
      <c r="E21" s="17"/>
      <c r="F21" s="17"/>
    </row>
    <row r="23" spans="1:6" ht="27.95" customHeight="1">
      <c r="A23" s="18" t="s">
        <v>151</v>
      </c>
      <c r="B23" s="18"/>
      <c r="C23" s="18"/>
      <c r="D23" s="18"/>
      <c r="E23" s="18"/>
      <c r="F23" s="18"/>
    </row>
    <row r="24" spans="1:6" ht="38.1" customHeight="1">
      <c r="A24" s="19" t="s">
        <v>217</v>
      </c>
      <c r="B24" s="17"/>
      <c r="C24" s="17"/>
      <c r="D24" s="17"/>
      <c r="E24" s="17"/>
      <c r="F24" s="17"/>
    </row>
    <row r="25" spans="1:6" ht="136.5" customHeight="1">
      <c r="A25" s="17"/>
      <c r="B25" s="17"/>
      <c r="C25" s="17"/>
      <c r="D25" s="17"/>
      <c r="E25" s="17"/>
      <c r="F25" s="17"/>
    </row>
  </sheetData>
  <mergeCells count="14">
    <mergeCell ref="A20:F21"/>
    <mergeCell ref="A23:F23"/>
    <mergeCell ref="A24:F25"/>
    <mergeCell ref="A11:F11"/>
    <mergeCell ref="A12:F13"/>
    <mergeCell ref="A15:F15"/>
    <mergeCell ref="A16:F17"/>
    <mergeCell ref="A19:F19"/>
    <mergeCell ref="G11:L11"/>
    <mergeCell ref="A1:F1"/>
    <mergeCell ref="A3:F3"/>
    <mergeCell ref="A4:F5"/>
    <mergeCell ref="A7:F7"/>
    <mergeCell ref="A8: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Seiphetlho Gofaone</cp:lastModifiedBy>
  <dcterms:modified xsi:type="dcterms:W3CDTF">2026-10-13T21:37:22Z</dcterms:modified>
</cp:coreProperties>
</file>
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se\Downloads\"/>
    </mc:Choice>
  </mc:AlternateContent>
  <xr:revisionPtr revIDLastSave="0" documentId="13_ncr:1_{F06C232E-8696-49A7-A978-9E47C1E132A5}" xr6:coauthVersionLast="47" xr6:coauthVersionMax="47" xr10:uidLastSave="{00000000-0000-0000-0000-000000000000}"/>
  <bookViews>
    <workbookView xWindow="-120" yWindow="-120" windowWidth="20730" windowHeight="11040" firstSheet="2" activeTab="2"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 r="G5" i="2"/>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G9" i="2"/>
  <c r="G8" i="2"/>
  <c r="G7" i="2"/>
  <c r="G6" i="2"/>
  <c r="G4" i="2"/>
</calcChain>
</file>

<file path=xl/sharedStrings.xml><?xml version="1.0" encoding="utf-8"?>
<sst xmlns="http://schemas.openxmlformats.org/spreadsheetml/2006/main" count="405" uniqueCount="273">
  <si>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</si>
  <si>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</si>
  <si>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</si>
  <si>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</si>
  <si>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</si>
  <si>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</si>
  <si>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</si>
  <si>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</si>
  <si>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</si>
  <si>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</si>
  <si>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</si>
  <si>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</si>
  <si>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</si>
  <si>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</si>
  <si>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</si>
  <si>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</si>
  <si>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</si>
  <si>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</si>
  <si>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</si>
  <si>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</si>
  <si>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</si>
  <si>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</si>
  <si>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</si>
  <si>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</si>
  <si>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</si>
  <si>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</si>
  <si>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</si>
  <si>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</si>
  <si>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</si>
  <si>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</si>
  <si>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</si>
  <si>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</si>
  <si>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</si>
  <si>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</si>
  <si>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</si>
  <si>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</si>
  <si>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</si>
  <si>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</si>
  <si>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</si>
  <si>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</si>
  <si>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</si>
  <si>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</si>
  <si>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</si>
  <si>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</si>
  <si>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</si>
  <si>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</si>
  <si>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</si>
  <si>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</si>
  <si>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</si>
  <si>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</si>
  <si>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</si>
  <si>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</si>
  <si>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</si>
  <si>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</si>
  <si>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</si>
  <si>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</si>
  <si>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</si>
  <si>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</si>
  <si>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</si>
  <si>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</si>
  <si>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</si>
  <si>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</si>
  <si>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</si>
  <si>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</si>
  <si>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</si>
  <si>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</si>
  <si>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</si>
  <si>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</si>
  <si>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</si>
  <si>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</si>
  <si>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</si>
  <si>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</si>
  <si>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</si>
  <si>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</si>
  <si>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</si>
  <si>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</si>
  <si>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</si>
  <si>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</si>
  <si>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</si>
  <si>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</si>
  <si>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</si>
  <si>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</si>
  <si>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</si>
  <si>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</si>
  <si>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</si>
  <si>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</si>
  <si>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</si>
  <si>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</si>
  <si>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</si>
  <si>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</si>
  <si>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</si>
  <si>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</si>
  <si>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</si>
  <si>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</si>
  <si>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</si>
  <si>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</si>
  <si>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</si>
  <si>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</si>
  <si>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</si>
  <si>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</si>
  <si>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</si>
  <si>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</si>
  <si>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</si>
  <si>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</si>
  <si>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</si>
  <si>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</si>
  <si>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</si>
  <si>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</si>
  <si>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</si>
  <si>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</si>
  <si>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</si>
  <si>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</si>
  <si>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</si>
  <si>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</si>
  <si>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</si>
  <si>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</si>
  <si>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</si>
  <si>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</si>
  <si>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</si>
  <si>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</si>
  <si>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</si>
  <si>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</si>
  <si>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</si>
  <si>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</si>
  <si>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</si>
  <si>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</si>
  <si>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</si>
  <si>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</si>
  <si>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</si>
  <si>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</si>
  <si>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</si>
  <si>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</si>
  <si>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</si>
  <si>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</si>
  <si>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</si>
  <si>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</si>
  <si>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</si>
  <si>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</si>
  <si>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</si>
  <si>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</si>
  <si>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</si>
  <si>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</si>
  <si>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</si>
  <si>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</si>
  <si>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</si>
  <si>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</si>
  <si>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</si>
  <si>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</si>
  <si>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</si>
  <si>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</si>
  <si>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</si>
  <si>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</si>
  <si>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</si>
  <si>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</si>
  <si>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</si>
  <si>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</si>
  <si>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</si>
  <si>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</si>
  <si>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</si>
  <si>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</si>
  <si>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</si>
  <si>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</si>
  <si>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</si>
  <si>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</si>
  <si>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</si>
  <si>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</si>
  <si>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</si>
  <si>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</si>
  <si>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</si>
  <si>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</si>
  <si>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</si>
  <si>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Group O</t>
  </si>
  <si>
    <t>Maphosa NM</t>
  </si>
  <si>
    <t>Freeman C</t>
  </si>
  <si>
    <t>Pikwa A</t>
  </si>
  <si>
    <t>Tyam M</t>
  </si>
  <si>
    <t>Mjiyakho T</t>
  </si>
  <si>
    <t>Machedi M</t>
  </si>
  <si>
    <t>Masita T</t>
  </si>
  <si>
    <t>Seiphetlho GK</t>
  </si>
  <si>
    <t>Miss M Mbele</t>
  </si>
  <si>
    <t>Yes</t>
  </si>
  <si>
    <t>SRS Compiler</t>
  </si>
  <si>
    <t>Meeting</t>
  </si>
  <si>
    <t>Identifying and Confirming Stakeholder</t>
  </si>
  <si>
    <t>Email</t>
  </si>
  <si>
    <t>Resolved</t>
  </si>
  <si>
    <t>Follow-up questions issued to stakeholder</t>
  </si>
  <si>
    <t>Stakeholder responses received</t>
  </si>
  <si>
    <t>Tech Lead/ SRS compiler/ Full-Stack Development</t>
  </si>
  <si>
    <t>Project Manager/ Frontend developer</t>
  </si>
  <si>
    <t>SRS Compiler/ Designer</t>
  </si>
  <si>
    <t>Backend developer/ Frontend Design</t>
  </si>
  <si>
    <t>SRS Compiler/ Software Developer</t>
  </si>
  <si>
    <t>SRS Compiler Frontened developer</t>
  </si>
  <si>
    <t xml:space="preserve">Frontend Developer </t>
  </si>
  <si>
    <t>Creates, and manages the Github repository and Supabase account</t>
  </si>
  <si>
    <t xml:space="preserve">Creates and manages the Microsoft Project file </t>
  </si>
  <si>
    <t>Formally documents the stakeholder's response, Maintains the change log and the open-question list</t>
  </si>
  <si>
    <t>Record minutes, decisions and actions and document meetings</t>
  </si>
  <si>
    <t xml:space="preserve">Document the feasibility study of the project </t>
  </si>
  <si>
    <t>Compile and document the Project Scope</t>
  </si>
  <si>
    <t>Document the possible risks in the Risk Register</t>
  </si>
  <si>
    <t>Creates and manages the Progress Tracker</t>
  </si>
  <si>
    <t>Kept track and managed the progress tracker</t>
  </si>
  <si>
    <t>Identified and created the risk manager</t>
  </si>
  <si>
    <t>Helped create the SRS</t>
  </si>
  <si>
    <t>Identified and created the feasibility</t>
  </si>
  <si>
    <t>Lead the stakeholder interview, reviewed SRS and kept track of meetings</t>
  </si>
  <si>
    <t>Identified requirements, managed change log, and helped create the SRS</t>
  </si>
  <si>
    <t>Created and Managed the Microsoft Project Schedule</t>
  </si>
  <si>
    <t>The group generally handled differences and misunderstanding through discussions and meetings. When issues arose, members discussed possible solutions and worked towards an agreement that supported the project's requirements and constraints.</t>
  </si>
  <si>
    <t>The second improvement action is to improve internal communication through more regular progress updates. The group should check in with one another regularly to identify challenges before they become major issues.</t>
  </si>
  <si>
    <t>The group's highest priority should be translating the refined requirements and SRS into a clear system design and stable database structure.The group should also prioritise staying on top of communication deadlines, stakeholder requirements and responsibilities.</t>
  </si>
  <si>
    <t>During phase 1, The group completed the main planning and documentation activities, including requirements gathering, stakeholder engagement , SRS preparation, project planning, risk identification, task allocation, and initial technical planning. We also clarified the stakeholder's requirements and priorities through follow-up discussions and written questions.</t>
  </si>
  <si>
    <t xml:space="preserve">Some technical and design aspects remain to incomplete, particularly the systen design,databse structure, and development-related activities. </t>
  </si>
  <si>
    <t>These activities remains incomplete because some requirements and technical information were still being clarified during phase 1so they will be completed in the upcoming phases.</t>
  </si>
  <si>
    <t>Created the Github and supabase repository and helped complete final SRS, Collecting Evidence</t>
  </si>
  <si>
    <t>Shared requirements</t>
  </si>
  <si>
    <t>Confirmation of Findings</t>
  </si>
  <si>
    <t>The group could improve its working process by establishing clearer deadlines and responsibilities from the beginning of each phase. Members should communicate progress more consistently and provide updates early when they experience difficulties.</t>
  </si>
  <si>
    <t>Stakeholder engagement, requirements gathering, SRS preparation, research, project planning, and task coordination were particularly important. The written follow-up questions and the contributions of members responsible for different documentation and technical areas helped the group establish a clearer understanding of the project and its requirements.</t>
  </si>
  <si>
    <t>There were no major participation concerns. Overall, members contributed to the Phase 1 activities and were willing to support one another. However, the group identified opportunities to improve consistency in communication, task updates, and meeting internal deadlines.</t>
  </si>
  <si>
    <t>A challenge that we faced was our stakeholder being unavailable for consultations on the week of 24 - 28 August, which limited our ability to obtain clarification on some project requirements.</t>
  </si>
  <si>
    <t>The group compiled and sent questions to the stakeholder in advance and use written communication where possible. Important requirements and decisions will be confirmed and documented before proceeding with related tasks.</t>
  </si>
  <si>
    <t>Discussing the current process and the problem</t>
  </si>
  <si>
    <t>The group had limited agricultural domain knowledge, particularly regarding soil samples,soil measurements, and the interpretation of the values produced by soil monitoring.</t>
  </si>
  <si>
    <t>The group could not confidently interpret the soil-related information independently, which required additional research and consultation before finalising certain requirements and system considerations.</t>
  </si>
  <si>
    <t>The group conducted a research to improve its understanding of soil monitoring and the meaning of relevant measurements. The information obtained will be used to validate the project requirements and guide the system design.</t>
  </si>
  <si>
    <t>Agriculutural stakeholders need reliable and understandable information about soil and environmental conditions at different locations. The Stakeholder was identified and confirmed, and the group established the stakeholder's involvement in the project.</t>
  </si>
  <si>
    <t>Confirm stakeholder details and proceed with requirements gathering and project discussions.</t>
  </si>
  <si>
    <t>{meeting minutes}</t>
  </si>
  <si>
    <t xml:space="preserve">The current process and the problem to be addressed by the proposed soil monitoring system were discussed. The group gained a clearer understanding of the existing process and stakeholder needs. </t>
  </si>
  <si>
    <t>Document the current process and problem statement and use the findings to guide requirements gathering.</t>
  </si>
  <si>
    <t>The Stakeholder provided the requirements document for the project.</t>
  </si>
  <si>
    <t>Review the requirements and identify areas requiring clarification or follow-up questions.</t>
  </si>
  <si>
    <t>{Stakeholder email screenshot/ requirement doc}</t>
  </si>
  <si>
    <t>Follow-up questions were sent to clarify requirements and address uncertainties and identified during the review of the stakeholder's information.</t>
  </si>
  <si>
    <t>Await and review the stakeholder's responses and update the project documentation accordingly.</t>
  </si>
  <si>
    <t>{Email of the follow-up questions}</t>
  </si>
  <si>
    <t>Responses of the follow-up questions were received, providing clarification on the project requirements and helping the group refine its understanding of the system.</t>
  </si>
  <si>
    <t>Update and finalise the relevant project documentation based on the confirmed responses.</t>
  </si>
  <si>
    <t>{stakeholder response email}</t>
  </si>
  <si>
    <t>The group sent the documented findings to the stakeholder for confirmation to ensure that the information captured from the engagement was accurate.</t>
  </si>
  <si>
    <t>Incorporate any corrections or confirmation received from the stakeholder into the final documentation/ SRS.</t>
  </si>
  <si>
    <t>{Confirmation email}</t>
  </si>
  <si>
    <t>16 hours</t>
  </si>
  <si>
    <t>Completed the main Phase 1 planning and requirements activities, including stakeholder engagement, requirements gathering, SRS preparation, feasibility and risk analysis, project planning, and initial technical setup.</t>
  </si>
  <si>
    <t>Stakeholder availabilty affected the clarification of some requirements, while limited agricultural domain knowledge required the group to conduct additional research and consult agricultural professionals.</t>
  </si>
  <si>
    <t>Finalise the remaining Phase 1 documentation and complete Phase 1 submission and stakeholder approval before proceeding to Phase 2.</t>
  </si>
  <si>
    <t>15 hours</t>
  </si>
  <si>
    <t>18 hours</t>
  </si>
  <si>
    <t>16 hrs</t>
  </si>
  <si>
    <t>15 hrs</t>
  </si>
  <si>
    <t>During phase 1, the group learned the importance of proper planning, documentation, teamwork, communication and requirements gathering before beginning development. We learned that project documentation helps organise the work, although creating and maintaining it can be challenging. The group also gained better understanding of identifying risks early, breaking a project into manageable tasks and developing a realistic timeline using Microsoft project. A major learning point was the importance of understanding stakeholder requirements rather than making assumptions. Through Stakeholder engagement, we learned that requirements may not always be complete or clear during the first discussion and that follow-up questions are important for clarifying uncertainties.</t>
  </si>
  <si>
    <t>One of the main challenging parts was creating the SRS, particularly because some information had to be obtained from the stakeholder. There were difficulties in clearly determining who was responsible for certain sections of the SRS, which created some communication challenges. Another challenge was the stakeholder availability. At times, the stakeholder was unavailable, which meant some questions could not be answered immediately and contributed to delays in finalising certain documents.</t>
  </si>
  <si>
    <t>Task were divided according to the responsibilities required for Phase 1, as well as members strength, availability, and areas of comfort. The group ensured that tasks were assigned so that no major activity was left without an answer.</t>
  </si>
  <si>
    <t>Overall, the group felt that members contributed fairly to phase 1. each member was assigned responsibilities that contributed to the completion of the required work, and members were willing to assist one another when necessary.</t>
  </si>
  <si>
    <t>We learned that the project should be based on the actual needs and requirements rather than assumptions made by the development team. The stakeholder helped the group better understand the problem the system is intended to address and clarify important requirements and priorities.</t>
  </si>
  <si>
    <t xml:space="preserve">The group worked well together by sharing responsibilities and supporting one another to complete the required phase 1 activities. Task allocation helped prevent members from working unnecessarily on the same activities, while assigning responsibility for specific deliverables ensured that important tasks had an owner. Research and requirements planning went well. The group was able to engage with the stakeholder, ask follow-up questions, and obtain information that helped clarify the project requirements. Written follow-up questions were particularly useful because they provided clear answers that could be used as evidence when developing the documentation. </t>
  </si>
  <si>
    <t>https://supabase.com/dashboard/project/dsejhpcdshrkpmaewbcq</t>
  </si>
  <si>
    <t>https://github.com/Nido-Maphosa86/soil-sensor-monitoring.git</t>
  </si>
  <si>
    <t>https://github.com/Nido-Maphosa86/soil-sensor-monitoring.git                                                                                  https://supabase.com/dashboard/project/dsejhpcdshrkpmaewbcq</t>
  </si>
  <si>
    <t>2 Weeks(18 August 2026-04 September 2026)</t>
  </si>
  <si>
    <t>Goitsemang Diane(Department of Agriculture,Plant and Science)</t>
  </si>
  <si>
    <t>Multi-Site and Environmental Monitoring System</t>
  </si>
  <si>
    <t>Findings Approved and Requirements approved</t>
  </si>
  <si>
    <t>GK Seiphetlho</t>
  </si>
  <si>
    <t>NM Maphosa</t>
  </si>
  <si>
    <t>Caitlin Freeman</t>
  </si>
  <si>
    <t>Mabasa Tyam, Ayatolla Pikwa, Machedi Mamello, Tiisetso Masita, Thobani Mjiyakho</t>
  </si>
  <si>
    <t>Ayatolla Pikwa, Machedi Mamello, Tiisetso Masita, Thobani Mjiyakho, Mabasa Tyam</t>
  </si>
  <si>
    <t xml:space="preserve"> Ayatolla Pikwa, Machedi Mamello, Tiisetso Masita, Thobani Mjiyakho,Mabasa Tyam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</si>
</sst>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8">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u/>
      <sz val="11"/>
      <color theme="10"/>
      <name val="Carlito"/>
    </font>
    <font>
      <sz val="11"/>
      <color rgb="FF000000"/>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6" fillId="0" borderId="0" xfId="1" applyAlignment="1">
      <alignment vertical="top" wrapText="1"/>
    </xf>
    <xf numFmtId="0" fontId="7" fillId="0" borderId="0" xfId="0" applyFont="1" applyAlignment="1">
      <alignment vertical="top" wrapText="1"/>
    </xf>
    <xf numFmtId="0" fontId="1" fillId="2"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cellXfs>
  <cellStyles count="2">
    <cellStyle name="Hyperlink" xfId="1" builtinId="8"/>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extLst>
            <c:ext xmlns:c16="http://schemas.microsoft.com/office/drawing/2014/chart" uri="{C3380CC4-5D6E-409C-BE32-E72D297353CC}">
              <c16:uniqueId val="{00000000-9E4D-449B-B220-5AB033EAEF2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2">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supabase.com/dashboard/project/dsejhpcdshrkpmaewbcq"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github.com/Nido-Maphosa86/soil-sensor-monitoring.gi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activeCell="B8" sqref="B8"/>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30" customHeight="1">
      <c r="A1" s="31" t="s">
        <v>0</v>
      </c>
      <c r="B1" s="31"/>
      <c r="C1" s="31"/>
      <c r="D1" s="31"/>
      <c r="E1" s="31"/>
      <c r="F1" s="31"/>
      <c r="G1" s="31"/>
      <c r="H1" s="31"/>
    </row>
    <row r="3" spans="1:8" ht="42" customHeight="1">
      <c r="A3" s="35" t="s">
        <v>1</v>
      </c>
      <c r="B3" s="35"/>
      <c r="C3" s="35"/>
      <c r="D3" s="35"/>
      <c r="E3" s="35"/>
      <c r="F3" s="35"/>
      <c r="G3" s="35"/>
      <c r="H3" s="35"/>
    </row>
    <row r="5" spans="1:8" ht="15">
      <c r="A5" s="1" t="s">
        <v>2</v>
      </c>
      <c r="B5" s="2" t="s">
        <v>3</v>
      </c>
      <c r="D5" s="36" t="s">
        <v>4</v>
      </c>
      <c r="E5" s="37"/>
      <c r="F5" s="38"/>
      <c r="G5" s="38"/>
      <c r="H5" s="38"/>
    </row>
    <row r="6" spans="1:8" ht="33.75" customHeight="1">
      <c r="A6" s="3" t="s">
        <v>5</v>
      </c>
      <c r="B6" s="4" t="s">
        <v>6</v>
      </c>
      <c r="D6" s="3" t="s">
        <v>7</v>
      </c>
      <c r="E6" s="4" t="s">
        <v>8</v>
      </c>
    </row>
    <row r="7" spans="1:8" ht="42.75" customHeight="1">
      <c r="A7" s="3" t="s">
        <v>9</v>
      </c>
      <c r="B7" s="4" t="s">
        <v>10</v>
      </c>
      <c r="D7" s="3" t="s">
        <v>11</v>
      </c>
      <c r="E7" s="4" t="s">
        <v>12</v>
      </c>
    </row>
    <row r="8" spans="1:8" ht="33.950000000000003" customHeight="1">
      <c r="A8" s="3" t="s">
        <v>13</v>
      </c>
      <c r="B8" s="4" t="s">
        <v>14</v>
      </c>
      <c r="D8" s="3" t="s">
        <v>15</v>
      </c>
      <c r="E8" s="4" t="s">
        <v>16</v>
      </c>
    </row>
    <row r="9" spans="1:8" ht="33.950000000000003" customHeight="1">
      <c r="A9" s="3" t="s">
        <v>17</v>
      </c>
      <c r="B9" s="4" t="s">
        <v>18</v>
      </c>
      <c r="D9" s="3" t="s">
        <v>19</v>
      </c>
      <c r="E9" s="4" t="s">
        <v>20</v>
      </c>
    </row>
    <row r="10" spans="1:8" ht="33.950000000000003" customHeight="1">
      <c r="A10" s="3" t="s">
        <v>21</v>
      </c>
      <c r="B10" s="4" t="s">
        <v>22</v>
      </c>
      <c r="D10" s="3" t="s">
        <v>23</v>
      </c>
      <c r="E10" s="4" t="s">
        <v>24</v>
      </c>
    </row>
    <row r="11" spans="1:8" ht="41.25" customHeight="1">
      <c r="A11" s="3" t="s">
        <v>25</v>
      </c>
      <c r="B11" s="4" t="s">
        <v>26</v>
      </c>
      <c r="D11" s="5" t="s">
        <v>27</v>
      </c>
      <c r="E11" s="6" t="s">
        <v>28</v>
      </c>
    </row>
    <row r="12" spans="1:8" ht="28.5">
      <c r="A12" s="5" t="s">
        <v>29</v>
      </c>
      <c r="B12" s="6" t="s">
        <v>30</v>
      </c>
    </row>
    <row r="13" spans="1:8" ht="15">
      <c r="D13" s="36" t="s">
        <v>31</v>
      </c>
      <c r="E13" s="37"/>
      <c r="F13" s="38"/>
      <c r="G13" s="38"/>
      <c r="H13" s="38"/>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opLeftCell="A6" workbookViewId="0">
      <selection activeCell="B6" sqref="B6"/>
    </sheetView>
  </sheetViews>
  <sheetFormatPr defaultRowHeight="14.25"/>
  <cols>
    <col min="1" max="1" width="27" customWidth="1"/>
    <col min="2" max="2" width="42" customWidth="1"/>
    <col min="3" max="5" width="3" customWidth="1"/>
    <col min="6" max="6" width="26" customWidth="1"/>
    <col min="7" max="7" width="12" customWidth="1"/>
    <col min="8" max="8" width="15.75" customWidth="1"/>
    <col min="9" max="12" width="12" customWidth="1"/>
  </cols>
  <sheetData>
    <row r="1" spans="1:12" ht="30" customHeight="1">
      <c r="A1" s="31" t="s">
        <v>40</v>
      </c>
      <c r="B1" s="31"/>
      <c r="C1" s="31"/>
      <c r="D1" s="31"/>
      <c r="E1" s="31"/>
      <c r="F1" s="31"/>
      <c r="G1" s="31"/>
      <c r="H1" s="31"/>
      <c r="I1" s="31"/>
      <c r="J1" s="31"/>
      <c r="K1" s="31"/>
      <c r="L1" s="31"/>
    </row>
    <row r="3" spans="1:12" ht="15">
      <c r="A3" s="1" t="s">
        <v>41</v>
      </c>
      <c r="B3" s="2" t="s">
        <v>42</v>
      </c>
      <c r="F3" s="1" t="s">
        <v>43</v>
      </c>
      <c r="G3" s="2" t="s">
        <v>44</v>
      </c>
    </row>
    <row r="4" spans="1:12" ht="27.95" customHeight="1">
      <c r="A4" s="3" t="s">
        <v>45</v>
      </c>
      <c r="B4" s="7" t="s">
        <v>171</v>
      </c>
      <c r="F4" s="3" t="s">
        <v>46</v>
      </c>
      <c r="G4" s="10">
        <f>COUNTIF('Task Progress'!H2:H101,"Completed")</f>
        <v>11</v>
      </c>
    </row>
    <row r="5" spans="1:12" ht="27.95" customHeight="1">
      <c r="A5" s="3" t="s">
        <v>47</v>
      </c>
      <c r="B5" s="7" t="s">
        <v>265</v>
      </c>
      <c r="F5" s="3" t="s">
        <v>48</v>
      </c>
      <c r="G5" s="10">
        <f>COUNTIF('Task Progress'!H2:H101,"In Progress")</f>
        <v>0</v>
      </c>
    </row>
    <row r="6" spans="1:12" ht="34.5" customHeight="1">
      <c r="A6" s="3" t="s">
        <v>49</v>
      </c>
      <c r="B6" s="7" t="s">
        <v>264</v>
      </c>
      <c r="F6" s="3" t="s">
        <v>50</v>
      </c>
      <c r="G6" s="10">
        <f>COUNTIF('Task Progress'!H2:H101,"Not Started")</f>
        <v>0</v>
      </c>
    </row>
    <row r="7" spans="1:12" ht="27.95" customHeight="1">
      <c r="A7" s="3" t="s">
        <v>51</v>
      </c>
      <c r="B7" s="7" t="s">
        <v>180</v>
      </c>
      <c r="F7" s="3" t="s">
        <v>52</v>
      </c>
      <c r="G7" s="10">
        <f>COUNTIF('Task Progress'!H2:H101,"Delayed")</f>
        <v>0</v>
      </c>
    </row>
    <row r="8" spans="1:12" ht="27.95" customHeight="1">
      <c r="A8" s="3" t="s">
        <v>53</v>
      </c>
      <c r="B8" s="7" t="s">
        <v>32</v>
      </c>
      <c r="F8" s="3" t="s">
        <v>54</v>
      </c>
      <c r="G8" s="10">
        <f>COUNTIF('Task Progress'!H2:H101,"Blocked")</f>
        <v>0</v>
      </c>
    </row>
    <row r="9" spans="1:12" ht="27.95" customHeight="1">
      <c r="A9" s="3" t="s">
        <v>55</v>
      </c>
      <c r="B9" s="7" t="s">
        <v>263</v>
      </c>
      <c r="F9" s="5" t="s">
        <v>56</v>
      </c>
      <c r="G9" s="11">
        <f ca="1">COUNTIF('Task Progress'!M2:M101,"Overdue")</f>
        <v>0</v>
      </c>
    </row>
    <row r="10" spans="1:12" ht="27.95" customHeight="1">
      <c r="A10" s="3" t="s">
        <v>57</v>
      </c>
      <c r="B10" s="7" t="s">
        <v>46</v>
      </c>
    </row>
    <row r="11" spans="1:12" ht="27.95" customHeight="1">
      <c r="A11" s="3" t="s">
        <v>58</v>
      </c>
      <c r="B11" s="8">
        <f>IFERROR(SUM('Task Progress'!I2:I101)/COUNTIF('Task Progress'!D2:D101,"&lt;&gt;")/100,0)</f>
        <v>0.91666666666666674</v>
      </c>
      <c r="F11" s="1" t="s">
        <v>59</v>
      </c>
      <c r="G11" s="2" t="s">
        <v>44</v>
      </c>
    </row>
    <row r="12" spans="1:12" ht="78.75" customHeight="1">
      <c r="A12" s="3" t="s">
        <v>60</v>
      </c>
      <c r="B12" s="7" t="s">
        <v>247</v>
      </c>
      <c r="F12" s="3" t="s">
        <v>61</v>
      </c>
      <c r="G12" s="10">
        <f>COUNTIF('Individual Contributions'!E3:E201,"?*")</f>
        <v>8</v>
      </c>
    </row>
    <row r="13" spans="1:12" ht="73.5" customHeight="1">
      <c r="A13" s="3" t="s">
        <v>62</v>
      </c>
      <c r="B13" s="7" t="s">
        <v>248</v>
      </c>
      <c r="F13" s="3" t="s">
        <v>63</v>
      </c>
      <c r="G13" s="10">
        <f>COUNTIFS('Individual Contributions'!E3:E201,"?*",'Individual Contributions'!J3:J201,"Yes")</f>
        <v>8</v>
      </c>
    </row>
    <row r="14" spans="1:12" ht="48" customHeight="1">
      <c r="A14" s="5" t="s">
        <v>64</v>
      </c>
      <c r="B14" s="9" t="s">
        <v>249</v>
      </c>
      <c r="F14" s="3" t="s">
        <v>65</v>
      </c>
      <c r="G14" s="10">
        <f>COUNTIFS('Individual Contributions'!E3:E201,"?*",'Individual Contributions'!J3:J201,"No")</f>
        <v>0</v>
      </c>
    </row>
    <row r="15" spans="1:12" ht="15">
      <c r="F15" s="5" t="s">
        <v>66</v>
      </c>
      <c r="G15" s="11">
        <f>COUNT('Stakeholder Engagement'!A3:A102)</f>
        <v>7</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abSelected="1" topLeftCell="C8" workbookViewId="0">
      <selection activeCell="E21" sqref="E21"/>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55.375" bestFit="1" customWidth="1"/>
    <col min="11" max="11" width="16" customWidth="1"/>
    <col min="12" max="12" width="32" customWidth="1"/>
    <col min="13" max="13" width="14" customWidth="1"/>
  </cols>
  <sheetData>
    <row r="1" spans="1:13" ht="30" customHeight="1">
      <c r="A1" s="31" t="s">
        <v>67</v>
      </c>
      <c r="B1" s="31"/>
      <c r="C1" s="31"/>
      <c r="D1" s="31"/>
      <c r="E1" s="31"/>
      <c r="F1" s="31"/>
      <c r="G1" s="31"/>
      <c r="H1" s="31"/>
      <c r="I1" s="31"/>
      <c r="J1" s="31"/>
      <c r="K1" s="31"/>
      <c r="L1" s="31"/>
      <c r="M1" s="31"/>
    </row>
    <row r="2" spans="1:13" ht="30">
      <c r="A2" s="1" t="s">
        <v>68</v>
      </c>
      <c r="B2" s="15" t="s">
        <v>69</v>
      </c>
      <c r="C2" s="15" t="s">
        <v>70</v>
      </c>
      <c r="D2" s="15" t="s">
        <v>71</v>
      </c>
      <c r="E2" s="15" t="s">
        <v>72</v>
      </c>
      <c r="F2" s="15" t="s">
        <v>73</v>
      </c>
      <c r="G2" s="15" t="s">
        <v>74</v>
      </c>
      <c r="H2" s="15" t="s">
        <v>75</v>
      </c>
      <c r="I2" s="15" t="s">
        <v>76</v>
      </c>
      <c r="J2" s="15" t="s">
        <v>77</v>
      </c>
      <c r="K2" s="15" t="s">
        <v>78</v>
      </c>
      <c r="L2" s="15" t="s">
        <v>79</v>
      </c>
      <c r="M2" s="2" t="s">
        <v>80</v>
      </c>
    </row>
    <row r="3" spans="1:13" ht="57">
      <c r="A3" s="16" t="s">
        <v>81</v>
      </c>
      <c r="B3" s="12" t="s">
        <v>32</v>
      </c>
      <c r="C3" s="12" t="s">
        <v>82</v>
      </c>
      <c r="D3" s="12" t="s">
        <v>83</v>
      </c>
      <c r="E3" s="12" t="s">
        <v>272</v>
      </c>
      <c r="F3" s="13">
        <v>46252</v>
      </c>
      <c r="G3" s="13">
        <v>46252</v>
      </c>
      <c r="H3" s="12" t="s">
        <v>46</v>
      </c>
      <c r="I3" s="14">
        <v>100</v>
      </c>
      <c r="J3" s="29"/>
      <c r="K3" s="12" t="s">
        <v>181</v>
      </c>
      <c r="L3" s="12"/>
      <c r="M3" s="17" t="str">
        <f t="shared" ref="M3:M34" ca="1" si="0">IF(D3="","",IF(H3="Completed","Completed",IF(H3="Blocked","Blocked",IF(H3="Delayed","Delayed",IF(AND(G3&lt;&gt;"",G3&lt;TODAY(),H3&lt;&gt;"Completed"),"Overdue","On Track")))))</f>
        <v>Completed</v>
      </c>
    </row>
    <row r="4" spans="1:13" ht="63.75" customHeight="1">
      <c r="A4" s="16" t="s">
        <v>84</v>
      </c>
      <c r="B4" s="12" t="s">
        <v>32</v>
      </c>
      <c r="C4" s="12" t="s">
        <v>82</v>
      </c>
      <c r="D4" s="12" t="s">
        <v>85</v>
      </c>
      <c r="E4" s="12" t="s">
        <v>271</v>
      </c>
      <c r="F4" s="13">
        <v>46254</v>
      </c>
      <c r="G4" s="13">
        <v>46254</v>
      </c>
      <c r="H4" s="12" t="s">
        <v>46</v>
      </c>
      <c r="I4" s="14">
        <v>100</v>
      </c>
      <c r="J4" s="12"/>
      <c r="K4" s="12" t="s">
        <v>181</v>
      </c>
      <c r="L4" s="12"/>
      <c r="M4" s="17" t="str">
        <f t="shared" ca="1" si="0"/>
        <v>Completed</v>
      </c>
    </row>
    <row r="5" spans="1:13" ht="57">
      <c r="A5" s="16" t="s">
        <v>86</v>
      </c>
      <c r="B5" s="12" t="s">
        <v>32</v>
      </c>
      <c r="C5" s="12" t="s">
        <v>82</v>
      </c>
      <c r="D5" s="12" t="s">
        <v>87</v>
      </c>
      <c r="E5" s="12" t="s">
        <v>270</v>
      </c>
      <c r="F5" s="13">
        <v>46255</v>
      </c>
      <c r="G5" s="13">
        <v>46258</v>
      </c>
      <c r="H5" s="12" t="s">
        <v>46</v>
      </c>
      <c r="I5" s="14">
        <v>100</v>
      </c>
      <c r="J5" s="12"/>
      <c r="K5" s="12" t="s">
        <v>181</v>
      </c>
      <c r="L5" s="12"/>
      <c r="M5" s="17" t="str">
        <f t="shared" ca="1" si="0"/>
        <v>Completed</v>
      </c>
    </row>
    <row r="6" spans="1:13" ht="57">
      <c r="A6" s="16" t="s">
        <v>88</v>
      </c>
      <c r="B6" s="12" t="s">
        <v>32</v>
      </c>
      <c r="C6" s="12" t="s">
        <v>89</v>
      </c>
      <c r="D6" s="12" t="s">
        <v>90</v>
      </c>
      <c r="E6" s="12" t="s">
        <v>271</v>
      </c>
      <c r="F6" s="13">
        <v>46252</v>
      </c>
      <c r="G6" s="13">
        <v>46252</v>
      </c>
      <c r="H6" s="12" t="s">
        <v>46</v>
      </c>
      <c r="I6" s="14">
        <v>100</v>
      </c>
      <c r="J6" s="12"/>
      <c r="K6" s="12" t="s">
        <v>181</v>
      </c>
      <c r="L6" s="12"/>
      <c r="M6" s="17" t="str">
        <f t="shared" ca="1" si="0"/>
        <v>Completed</v>
      </c>
    </row>
    <row r="7" spans="1:13" ht="57">
      <c r="A7" s="16" t="s">
        <v>91</v>
      </c>
      <c r="B7" s="12" t="s">
        <v>32</v>
      </c>
      <c r="C7" s="12" t="s">
        <v>89</v>
      </c>
      <c r="D7" s="12" t="s">
        <v>92</v>
      </c>
      <c r="E7" s="12" t="s">
        <v>272</v>
      </c>
      <c r="F7" s="13">
        <v>46253</v>
      </c>
      <c r="G7" s="13">
        <v>46253</v>
      </c>
      <c r="H7" s="12" t="s">
        <v>46</v>
      </c>
      <c r="I7" s="14">
        <v>100</v>
      </c>
      <c r="J7" s="12"/>
      <c r="K7" s="12" t="s">
        <v>181</v>
      </c>
      <c r="L7" s="12"/>
      <c r="M7" s="17" t="str">
        <f t="shared" ca="1" si="0"/>
        <v>Completed</v>
      </c>
    </row>
    <row r="8" spans="1:13" ht="57">
      <c r="A8" s="16" t="s">
        <v>93</v>
      </c>
      <c r="B8" s="12" t="s">
        <v>32</v>
      </c>
      <c r="C8" s="12" t="s">
        <v>94</v>
      </c>
      <c r="D8" s="12" t="s">
        <v>95</v>
      </c>
      <c r="E8" s="12" t="s">
        <v>271</v>
      </c>
      <c r="F8" s="13">
        <v>46255</v>
      </c>
      <c r="G8" s="13">
        <v>46259</v>
      </c>
      <c r="H8" s="12" t="s">
        <v>46</v>
      </c>
      <c r="I8" s="14">
        <v>100</v>
      </c>
      <c r="J8" s="12"/>
      <c r="K8" s="12" t="s">
        <v>181</v>
      </c>
      <c r="L8" s="12"/>
      <c r="M8" s="17" t="str">
        <f t="shared" ca="1" si="0"/>
        <v>Completed</v>
      </c>
    </row>
    <row r="9" spans="1:13">
      <c r="A9" s="16" t="s">
        <v>96</v>
      </c>
      <c r="B9" s="12" t="s">
        <v>32</v>
      </c>
      <c r="C9" s="12" t="s">
        <v>94</v>
      </c>
      <c r="D9" s="12" t="s">
        <v>97</v>
      </c>
      <c r="E9" s="12" t="s">
        <v>269</v>
      </c>
      <c r="F9" s="13">
        <v>46260</v>
      </c>
      <c r="G9" s="13">
        <v>46261</v>
      </c>
      <c r="H9" s="12" t="s">
        <v>46</v>
      </c>
      <c r="I9" s="14">
        <v>100</v>
      </c>
      <c r="J9" s="12"/>
      <c r="K9" s="12" t="s">
        <v>181</v>
      </c>
      <c r="L9" s="12"/>
      <c r="M9" s="17" t="str">
        <f t="shared" ca="1" si="0"/>
        <v>Completed</v>
      </c>
    </row>
    <row r="10" spans="1:13">
      <c r="A10" s="16" t="s">
        <v>98</v>
      </c>
      <c r="B10" s="12" t="s">
        <v>32</v>
      </c>
      <c r="C10" s="12" t="s">
        <v>94</v>
      </c>
      <c r="D10" s="12" t="s">
        <v>99</v>
      </c>
      <c r="E10" s="12" t="s">
        <v>268</v>
      </c>
      <c r="F10" s="13">
        <v>46258</v>
      </c>
      <c r="G10" s="13">
        <v>46258</v>
      </c>
      <c r="H10" s="12" t="s">
        <v>46</v>
      </c>
      <c r="I10" s="14">
        <v>100</v>
      </c>
      <c r="J10" s="12" t="s">
        <v>261</v>
      </c>
      <c r="K10" s="12" t="s">
        <v>181</v>
      </c>
      <c r="L10" s="12"/>
      <c r="M10" s="17" t="str">
        <f t="shared" ca="1" si="0"/>
        <v>Completed</v>
      </c>
    </row>
    <row r="11" spans="1:13">
      <c r="A11" s="16" t="s">
        <v>100</v>
      </c>
      <c r="B11" s="12" t="s">
        <v>32</v>
      </c>
      <c r="C11" s="12" t="s">
        <v>94</v>
      </c>
      <c r="D11" s="12" t="s">
        <v>101</v>
      </c>
      <c r="E11" s="12" t="s">
        <v>268</v>
      </c>
      <c r="F11" s="13">
        <v>46258</v>
      </c>
      <c r="G11" s="13">
        <v>46258</v>
      </c>
      <c r="H11" s="12" t="s">
        <v>46</v>
      </c>
      <c r="I11" s="14">
        <v>100</v>
      </c>
      <c r="J11" s="29" t="s">
        <v>260</v>
      </c>
      <c r="K11" s="12" t="s">
        <v>181</v>
      </c>
      <c r="L11" s="12"/>
      <c r="M11" s="17" t="str">
        <f t="shared" ca="1" si="0"/>
        <v>Completed</v>
      </c>
    </row>
    <row r="12" spans="1:13" ht="28.5">
      <c r="A12" s="16" t="s">
        <v>102</v>
      </c>
      <c r="B12" s="12" t="s">
        <v>32</v>
      </c>
      <c r="C12" s="12" t="s">
        <v>94</v>
      </c>
      <c r="D12" s="12" t="s">
        <v>103</v>
      </c>
      <c r="E12" s="12" t="s">
        <v>267</v>
      </c>
      <c r="F12" s="13">
        <v>46253</v>
      </c>
      <c r="G12" s="13">
        <v>46268</v>
      </c>
      <c r="H12" s="12" t="s">
        <v>46</v>
      </c>
      <c r="I12" s="14">
        <v>100</v>
      </c>
      <c r="J12" s="12"/>
      <c r="K12" s="12" t="s">
        <v>181</v>
      </c>
      <c r="L12" s="12"/>
      <c r="M12" s="17" t="str">
        <f t="shared" ca="1" si="0"/>
        <v>Completed</v>
      </c>
    </row>
    <row r="13" spans="1:13">
      <c r="A13" s="16" t="s">
        <v>104</v>
      </c>
      <c r="B13" s="12" t="s">
        <v>32</v>
      </c>
      <c r="C13" s="12" t="s">
        <v>94</v>
      </c>
      <c r="D13" s="12" t="s">
        <v>105</v>
      </c>
      <c r="E13" s="12" t="s">
        <v>267</v>
      </c>
      <c r="F13" s="13">
        <v>46265</v>
      </c>
      <c r="G13" s="13">
        <v>46266</v>
      </c>
      <c r="H13" s="12" t="s">
        <v>46</v>
      </c>
      <c r="I13" s="14">
        <v>100</v>
      </c>
      <c r="J13" s="12"/>
      <c r="K13" s="12" t="s">
        <v>181</v>
      </c>
      <c r="L13" s="12"/>
      <c r="M13" s="17" t="str">
        <f t="shared" ca="1" si="0"/>
        <v>Completed</v>
      </c>
    </row>
    <row r="14" spans="1:13">
      <c r="A14" s="16"/>
      <c r="B14" s="12"/>
      <c r="C14" s="12"/>
      <c r="D14" s="12"/>
      <c r="E14" s="12"/>
      <c r="F14" s="13"/>
      <c r="G14" s="13"/>
      <c r="H14" s="12"/>
      <c r="I14" s="14"/>
      <c r="J14" s="12"/>
      <c r="K14" s="12"/>
      <c r="L14" s="12"/>
      <c r="M14" s="17" t="str">
        <f t="shared" ca="1" si="0"/>
        <v/>
      </c>
    </row>
    <row r="15" spans="1:13">
      <c r="A15" s="16"/>
      <c r="B15" s="12"/>
      <c r="C15" s="12"/>
      <c r="D15" s="12"/>
      <c r="E15" s="12"/>
      <c r="F15" s="13"/>
      <c r="G15" s="13"/>
      <c r="H15" s="12"/>
      <c r="I15" s="14"/>
      <c r="J15" s="12"/>
      <c r="K15" s="12"/>
      <c r="L15" s="12"/>
      <c r="M15" s="17" t="str">
        <f t="shared" ca="1" si="0"/>
        <v/>
      </c>
    </row>
    <row r="16" spans="1:13">
      <c r="A16" s="16"/>
      <c r="B16" s="12"/>
      <c r="C16" s="12"/>
      <c r="D16" s="12"/>
      <c r="E16" s="12"/>
      <c r="F16" s="13"/>
      <c r="G16" s="13"/>
      <c r="H16" s="12"/>
      <c r="I16" s="14"/>
      <c r="J16" s="12"/>
      <c r="K16" s="12"/>
      <c r="L16" s="12"/>
      <c r="M16" s="17" t="str">
        <f t="shared" ca="1" si="0"/>
        <v/>
      </c>
    </row>
    <row r="17" spans="1:13">
      <c r="A17" s="16"/>
      <c r="B17" s="12"/>
      <c r="C17" s="12"/>
      <c r="D17" s="12"/>
      <c r="E17" s="12"/>
      <c r="F17" s="13"/>
      <c r="G17" s="13"/>
      <c r="H17" s="12"/>
      <c r="I17" s="14"/>
      <c r="J17" s="12"/>
      <c r="K17" s="12"/>
      <c r="L17" s="12"/>
      <c r="M17" s="17" t="str">
        <f t="shared" ca="1" si="0"/>
        <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ca="1" si="0"/>
        <v/>
      </c>
    </row>
    <row r="20" spans="1:13">
      <c r="A20" s="16"/>
      <c r="B20" s="12"/>
      <c r="C20" s="12"/>
      <c r="D20" s="12"/>
      <c r="E20" s="12"/>
      <c r="F20" s="13"/>
      <c r="G20" s="13"/>
      <c r="H20" s="12"/>
      <c r="I20" s="14"/>
      <c r="J20" s="12"/>
      <c r="K20" s="12"/>
      <c r="L20" s="12"/>
      <c r="M20" s="17" t="str">
        <f t="shared" ca="1" si="0"/>
        <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1">
    <cfRule type="expression" dxfId="7" priority="5">
      <formula>M3="Overdue"</formula>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hyperlinks>
    <hyperlink ref="J11" r:id="rId1" xr:uid="{6539A4B2-E50C-4722-B2FC-8C7961DDFCC4}"/>
  </hyperlinks>
  <pageMargins left="0.7" right="0.7" top="0.75" bottom="0.75" header="0.3" footer="0.3"/>
  <pageSetup paperSize="9" orientation="portrait"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workbookViewId="0">
      <selection activeCell="I15" sqref="I15"/>
    </sheetView>
  </sheetViews>
  <sheetFormatPr defaultRowHeight="14.25"/>
  <cols>
    <col min="1" max="1" width="24" customWidth="1"/>
    <col min="2" max="2" width="16" customWidth="1"/>
    <col min="3" max="3" width="19" customWidth="1"/>
    <col min="4" max="4" width="16.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31" t="s">
        <v>106</v>
      </c>
      <c r="B1" s="31"/>
      <c r="C1" s="31"/>
      <c r="D1" s="31"/>
      <c r="E1" s="31"/>
      <c r="F1" s="31"/>
      <c r="G1" s="31"/>
      <c r="H1" s="31"/>
      <c r="I1" s="31"/>
      <c r="J1" s="31"/>
      <c r="K1" s="31"/>
      <c r="L1" s="31"/>
    </row>
    <row r="2" spans="1:12" ht="30">
      <c r="A2" s="1" t="s">
        <v>107</v>
      </c>
      <c r="B2" s="15" t="s">
        <v>108</v>
      </c>
      <c r="C2" s="15" t="s">
        <v>69</v>
      </c>
      <c r="D2" s="15" t="s">
        <v>70</v>
      </c>
      <c r="E2" s="15" t="s">
        <v>109</v>
      </c>
      <c r="F2" s="15" t="s">
        <v>110</v>
      </c>
      <c r="G2" s="15" t="s">
        <v>111</v>
      </c>
      <c r="H2" s="15" t="s">
        <v>112</v>
      </c>
      <c r="I2" s="15" t="s">
        <v>77</v>
      </c>
      <c r="J2" s="15" t="s">
        <v>78</v>
      </c>
      <c r="K2" s="15" t="s">
        <v>113</v>
      </c>
      <c r="L2" s="2" t="s">
        <v>114</v>
      </c>
    </row>
    <row r="3" spans="1:12" ht="64.5" customHeight="1">
      <c r="A3" s="16" t="s">
        <v>172</v>
      </c>
      <c r="B3" s="12">
        <v>223039784</v>
      </c>
      <c r="C3" s="12" t="s">
        <v>32</v>
      </c>
      <c r="D3" s="12" t="s">
        <v>189</v>
      </c>
      <c r="E3" s="12" t="s">
        <v>196</v>
      </c>
      <c r="F3" s="12" t="s">
        <v>217</v>
      </c>
      <c r="G3" s="13">
        <v>46237</v>
      </c>
      <c r="H3" s="23" t="s">
        <v>251</v>
      </c>
      <c r="I3" s="29" t="s">
        <v>262</v>
      </c>
      <c r="J3" s="12" t="s">
        <v>181</v>
      </c>
      <c r="K3" s="13">
        <v>46268</v>
      </c>
      <c r="L3" s="17"/>
    </row>
    <row r="4" spans="1:12" ht="42.75">
      <c r="A4" s="16" t="s">
        <v>173</v>
      </c>
      <c r="B4" s="12">
        <v>224097774</v>
      </c>
      <c r="C4" s="12" t="s">
        <v>32</v>
      </c>
      <c r="D4" s="12" t="s">
        <v>190</v>
      </c>
      <c r="E4" s="12" t="s">
        <v>197</v>
      </c>
      <c r="F4" s="12" t="s">
        <v>210</v>
      </c>
      <c r="G4" s="13">
        <v>46261</v>
      </c>
      <c r="H4" s="23" t="s">
        <v>246</v>
      </c>
      <c r="I4" s="12"/>
      <c r="J4" s="12" t="s">
        <v>181</v>
      </c>
      <c r="K4" s="13">
        <v>46268</v>
      </c>
      <c r="L4" s="17"/>
    </row>
    <row r="5" spans="1:12" ht="42.75">
      <c r="A5" s="16" t="s">
        <v>174</v>
      </c>
      <c r="B5" s="12">
        <v>224135694</v>
      </c>
      <c r="C5" s="12" t="s">
        <v>32</v>
      </c>
      <c r="D5" s="12" t="s">
        <v>191</v>
      </c>
      <c r="E5" s="12" t="s">
        <v>198</v>
      </c>
      <c r="F5" s="12" t="s">
        <v>209</v>
      </c>
      <c r="G5" s="13">
        <v>46259</v>
      </c>
      <c r="H5" s="23" t="s">
        <v>246</v>
      </c>
      <c r="I5" s="12"/>
      <c r="J5" s="12" t="s">
        <v>181</v>
      </c>
      <c r="K5" s="13">
        <v>46268</v>
      </c>
      <c r="L5" s="17"/>
    </row>
    <row r="6" spans="1:12" ht="42.75">
      <c r="A6" s="16" t="s">
        <v>175</v>
      </c>
      <c r="B6" s="12">
        <v>222056708</v>
      </c>
      <c r="C6" s="12" t="s">
        <v>32</v>
      </c>
      <c r="D6" s="12" t="s">
        <v>192</v>
      </c>
      <c r="E6" s="12" t="s">
        <v>199</v>
      </c>
      <c r="F6" s="12" t="s">
        <v>208</v>
      </c>
      <c r="G6" s="13">
        <v>46265</v>
      </c>
      <c r="H6" s="23" t="s">
        <v>250</v>
      </c>
      <c r="I6" s="12"/>
      <c r="J6" s="12" t="s">
        <v>181</v>
      </c>
      <c r="K6" s="13">
        <v>46268</v>
      </c>
      <c r="L6" s="17"/>
    </row>
    <row r="7" spans="1:12" ht="42.75">
      <c r="A7" s="16" t="s">
        <v>176</v>
      </c>
      <c r="B7" s="12">
        <v>222088478</v>
      </c>
      <c r="C7" s="12" t="s">
        <v>32</v>
      </c>
      <c r="D7" s="12" t="s">
        <v>193</v>
      </c>
      <c r="E7" s="12" t="s">
        <v>200</v>
      </c>
      <c r="F7" s="12" t="s">
        <v>207</v>
      </c>
      <c r="G7" s="13">
        <v>46261</v>
      </c>
      <c r="H7" s="23" t="s">
        <v>246</v>
      </c>
      <c r="I7" s="12"/>
      <c r="J7" s="12" t="s">
        <v>181</v>
      </c>
      <c r="K7" s="13">
        <v>46268</v>
      </c>
      <c r="L7" s="17"/>
    </row>
    <row r="8" spans="1:12" ht="28.5">
      <c r="A8" s="16" t="s">
        <v>177</v>
      </c>
      <c r="B8" s="12">
        <v>222001607</v>
      </c>
      <c r="C8" s="12" t="s">
        <v>32</v>
      </c>
      <c r="D8" s="12" t="s">
        <v>182</v>
      </c>
      <c r="E8" s="12" t="s">
        <v>201</v>
      </c>
      <c r="F8" s="12" t="s">
        <v>206</v>
      </c>
      <c r="G8" s="13">
        <v>46261</v>
      </c>
      <c r="H8" s="23" t="s">
        <v>252</v>
      </c>
      <c r="I8" s="12"/>
      <c r="J8" s="12" t="s">
        <v>181</v>
      </c>
      <c r="K8" s="13">
        <v>46268</v>
      </c>
      <c r="L8" s="17"/>
    </row>
    <row r="9" spans="1:12" ht="42.75">
      <c r="A9" s="16" t="s">
        <v>178</v>
      </c>
      <c r="B9" s="12">
        <v>223043636</v>
      </c>
      <c r="C9" s="12" t="s">
        <v>32</v>
      </c>
      <c r="D9" s="12" t="s">
        <v>194</v>
      </c>
      <c r="E9" s="12" t="s">
        <v>202</v>
      </c>
      <c r="F9" s="12" t="s">
        <v>205</v>
      </c>
      <c r="G9" s="13">
        <v>46260</v>
      </c>
      <c r="H9" s="23" t="s">
        <v>253</v>
      </c>
      <c r="I9" s="12"/>
      <c r="J9" s="12" t="s">
        <v>181</v>
      </c>
      <c r="K9" s="13">
        <v>46268</v>
      </c>
      <c r="L9" s="17"/>
    </row>
    <row r="10" spans="1:12" ht="28.5">
      <c r="A10" s="16" t="s">
        <v>179</v>
      </c>
      <c r="B10" s="12">
        <v>224130045</v>
      </c>
      <c r="C10" s="12" t="s">
        <v>32</v>
      </c>
      <c r="D10" s="12" t="s">
        <v>195</v>
      </c>
      <c r="E10" s="12" t="s">
        <v>203</v>
      </c>
      <c r="F10" s="12" t="s">
        <v>204</v>
      </c>
      <c r="G10" s="13">
        <v>46268</v>
      </c>
      <c r="H10" s="23" t="s">
        <v>252</v>
      </c>
      <c r="I10" s="12"/>
      <c r="J10" s="12" t="s">
        <v>181</v>
      </c>
      <c r="K10" s="13">
        <v>46268</v>
      </c>
      <c r="L10" s="17"/>
    </row>
    <row r="11" spans="1:12">
      <c r="A11" s="16"/>
      <c r="B11" s="12"/>
      <c r="C11" s="12"/>
      <c r="D11" s="12"/>
      <c r="E11" s="12"/>
      <c r="F11" s="12"/>
      <c r="G11" s="13"/>
      <c r="H11" s="23"/>
      <c r="I11" s="12"/>
      <c r="J11" s="12"/>
      <c r="K11" s="13"/>
      <c r="L11" s="17"/>
    </row>
    <row r="12" spans="1:12">
      <c r="A12" s="16"/>
      <c r="B12" s="12"/>
      <c r="C12" s="12"/>
      <c r="D12" s="12"/>
      <c r="E12" s="12"/>
      <c r="F12" s="12"/>
      <c r="G12" s="13"/>
      <c r="H12" s="23"/>
      <c r="I12" s="12"/>
      <c r="J12" s="12"/>
      <c r="K12" s="13"/>
      <c r="L12" s="17"/>
    </row>
    <row r="13" spans="1:12">
      <c r="A13" s="16"/>
      <c r="B13" s="12"/>
      <c r="C13" s="12"/>
      <c r="D13" s="12"/>
      <c r="E13" s="12"/>
      <c r="F13" s="12"/>
      <c r="G13" s="13"/>
      <c r="H13" s="23"/>
      <c r="I13" s="12"/>
      <c r="J13" s="12"/>
      <c r="K13" s="13"/>
      <c r="L13" s="17"/>
    </row>
    <row r="14" spans="1:12">
      <c r="A14" s="16"/>
      <c r="B14" s="12"/>
      <c r="C14" s="12"/>
      <c r="D14" s="12"/>
      <c r="E14" s="12"/>
      <c r="F14" s="12"/>
      <c r="G14" s="13"/>
      <c r="H14" s="23"/>
      <c r="I14" s="12"/>
      <c r="J14" s="12"/>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hyperlinks>
    <hyperlink ref="I3" r:id="rId1" display="https://github.com/Nido-Maphosa86/soil-sensor-monitoring.git                                      " xr:uid="{E32B6FAE-781B-4DAC-AB28-F4E21BE325F9}"/>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2"/>
  <sheetViews>
    <sheetView topLeftCell="E4" workbookViewId="0">
      <selection activeCell="G9" sqref="G9"/>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31" t="s">
        <v>115</v>
      </c>
      <c r="B1" s="31"/>
      <c r="C1" s="31"/>
      <c r="D1" s="31"/>
      <c r="E1" s="31"/>
      <c r="F1" s="31"/>
      <c r="G1" s="31"/>
      <c r="H1" s="31"/>
      <c r="I1" s="31"/>
    </row>
    <row r="2" spans="1:9" ht="30">
      <c r="A2" s="1" t="s">
        <v>116</v>
      </c>
      <c r="B2" s="15" t="s">
        <v>69</v>
      </c>
      <c r="C2" s="15" t="s">
        <v>117</v>
      </c>
      <c r="D2" s="15" t="s">
        <v>3</v>
      </c>
      <c r="E2" s="15" t="s">
        <v>118</v>
      </c>
      <c r="F2" s="15" t="s">
        <v>119</v>
      </c>
      <c r="G2" s="15" t="s">
        <v>120</v>
      </c>
      <c r="H2" s="15" t="s">
        <v>121</v>
      </c>
      <c r="I2" s="2" t="s">
        <v>77</v>
      </c>
    </row>
    <row r="3" spans="1:9" ht="93.75" customHeight="1">
      <c r="A3" s="25">
        <v>46252</v>
      </c>
      <c r="B3" s="12" t="s">
        <v>32</v>
      </c>
      <c r="C3" s="12" t="s">
        <v>183</v>
      </c>
      <c r="D3" s="12" t="s">
        <v>184</v>
      </c>
      <c r="E3" s="12" t="s">
        <v>181</v>
      </c>
      <c r="F3" s="12" t="s">
        <v>181</v>
      </c>
      <c r="G3" s="12" t="s">
        <v>229</v>
      </c>
      <c r="H3" s="12" t="s">
        <v>230</v>
      </c>
      <c r="I3" s="17" t="s">
        <v>231</v>
      </c>
    </row>
    <row r="4" spans="1:9" ht="71.25">
      <c r="A4" s="25">
        <v>46253</v>
      </c>
      <c r="B4" s="12" t="s">
        <v>32</v>
      </c>
      <c r="C4" s="12" t="s">
        <v>183</v>
      </c>
      <c r="D4" s="12" t="s">
        <v>225</v>
      </c>
      <c r="E4" s="12" t="s">
        <v>181</v>
      </c>
      <c r="F4" s="12" t="s">
        <v>181</v>
      </c>
      <c r="G4" s="12" t="s">
        <v>232</v>
      </c>
      <c r="H4" s="12" t="s">
        <v>233</v>
      </c>
      <c r="I4" s="17" t="s">
        <v>231</v>
      </c>
    </row>
    <row r="5" spans="1:9" ht="42.75">
      <c r="A5" s="20">
        <v>46254</v>
      </c>
      <c r="B5" s="12" t="s">
        <v>32</v>
      </c>
      <c r="C5" s="12" t="s">
        <v>185</v>
      </c>
      <c r="D5" s="12" t="s">
        <v>218</v>
      </c>
      <c r="E5" s="12" t="s">
        <v>181</v>
      </c>
      <c r="F5" s="12" t="s">
        <v>181</v>
      </c>
      <c r="G5" s="12" t="s">
        <v>234</v>
      </c>
      <c r="H5" s="12" t="s">
        <v>235</v>
      </c>
      <c r="I5" s="19" t="s">
        <v>236</v>
      </c>
    </row>
    <row r="6" spans="1:9" ht="57">
      <c r="A6" s="25">
        <v>46260</v>
      </c>
      <c r="B6" s="12" t="s">
        <v>32</v>
      </c>
      <c r="C6" s="12" t="s">
        <v>185</v>
      </c>
      <c r="D6" s="12" t="s">
        <v>187</v>
      </c>
      <c r="E6" s="12" t="s">
        <v>181</v>
      </c>
      <c r="F6" s="12" t="s">
        <v>181</v>
      </c>
      <c r="G6" s="12" t="s">
        <v>237</v>
      </c>
      <c r="H6" s="12" t="s">
        <v>238</v>
      </c>
      <c r="I6" s="17" t="s">
        <v>239</v>
      </c>
    </row>
    <row r="7" spans="1:9" ht="57">
      <c r="A7" s="25">
        <v>46262</v>
      </c>
      <c r="B7" s="12" t="s">
        <v>32</v>
      </c>
      <c r="C7" s="12" t="s">
        <v>185</v>
      </c>
      <c r="D7" s="12" t="s">
        <v>188</v>
      </c>
      <c r="E7" s="12" t="s">
        <v>181</v>
      </c>
      <c r="F7" s="12" t="s">
        <v>181</v>
      </c>
      <c r="G7" s="12" t="s">
        <v>240</v>
      </c>
      <c r="H7" s="12" t="s">
        <v>241</v>
      </c>
      <c r="I7" s="17" t="s">
        <v>242</v>
      </c>
    </row>
    <row r="8" spans="1:9" ht="57">
      <c r="A8" s="25">
        <v>46264</v>
      </c>
      <c r="B8" s="12" t="s">
        <v>32</v>
      </c>
      <c r="C8" s="12" t="s">
        <v>185</v>
      </c>
      <c r="D8" s="12" t="s">
        <v>219</v>
      </c>
      <c r="E8" s="12" t="s">
        <v>181</v>
      </c>
      <c r="F8" s="12" t="s">
        <v>181</v>
      </c>
      <c r="G8" s="12" t="s">
        <v>243</v>
      </c>
      <c r="H8" s="12" t="s">
        <v>244</v>
      </c>
      <c r="I8" s="17" t="s">
        <v>245</v>
      </c>
    </row>
    <row r="9" spans="1:9" ht="28.5">
      <c r="A9" s="25">
        <v>46268</v>
      </c>
      <c r="B9" s="12" t="s">
        <v>32</v>
      </c>
      <c r="C9" s="12" t="s">
        <v>185</v>
      </c>
      <c r="D9" s="12" t="s">
        <v>266</v>
      </c>
      <c r="E9" s="12" t="s">
        <v>181</v>
      </c>
      <c r="F9" s="12" t="s">
        <v>181</v>
      </c>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5"/>
      <c r="B101" s="12"/>
      <c r="C101" s="12"/>
      <c r="D101" s="12"/>
      <c r="E101" s="12"/>
      <c r="F101" s="12"/>
      <c r="G101" s="12"/>
      <c r="H101" s="12"/>
      <c r="I101" s="17"/>
    </row>
    <row r="102" spans="1:9">
      <c r="A102" s="26"/>
      <c r="B102" s="19"/>
      <c r="C102" s="19"/>
      <c r="D102" s="19"/>
      <c r="E102" s="19"/>
      <c r="F102" s="19"/>
      <c r="G102" s="19"/>
      <c r="H102" s="19"/>
      <c r="I102" s="22"/>
    </row>
  </sheetData>
  <mergeCells count="1">
    <mergeCell ref="A1:I1"/>
  </mergeCells>
  <dataValidations count="2">
    <dataValidation type="list" sqref="B3:B102" xr:uid="{00000000-0002-0000-0400-000000000000}">
      <formula1>"Unit 1 / Phase 1,Phase 2,Phase 3,Final"</formula1>
    </dataValidation>
    <dataValidation type="list" sqref="C3:C102"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workbookViewId="0">
      <selection activeCell="G3" sqref="G3"/>
    </sheetView>
  </sheetViews>
  <sheetFormatPr defaultRowHeight="14.25"/>
  <cols>
    <col min="1" max="1" width="15" customWidth="1"/>
    <col min="2" max="2" width="19" customWidth="1"/>
    <col min="3" max="3" width="40.25" customWidth="1"/>
    <col min="4" max="4" width="34" customWidth="1"/>
    <col min="5" max="5" width="38" customWidth="1"/>
    <col min="6" max="6" width="24" customWidth="1"/>
    <col min="7" max="7" width="16.375" customWidth="1"/>
    <col min="8" max="8" width="16.5" customWidth="1"/>
  </cols>
  <sheetData>
    <row r="1" spans="1:8" ht="30" customHeight="1">
      <c r="A1" s="31" t="s">
        <v>122</v>
      </c>
      <c r="B1" s="31"/>
      <c r="C1" s="31"/>
      <c r="D1" s="31"/>
      <c r="E1" s="31"/>
      <c r="F1" s="31"/>
      <c r="G1" s="31"/>
      <c r="H1" s="31"/>
    </row>
    <row r="2" spans="1:8" ht="15">
      <c r="A2" s="1" t="s">
        <v>123</v>
      </c>
      <c r="B2" s="15" t="s">
        <v>69</v>
      </c>
      <c r="C2" s="15" t="s">
        <v>124</v>
      </c>
      <c r="D2" s="15" t="s">
        <v>125</v>
      </c>
      <c r="E2" s="15" t="s">
        <v>126</v>
      </c>
      <c r="F2" s="15" t="s">
        <v>127</v>
      </c>
      <c r="G2" s="15" t="s">
        <v>128</v>
      </c>
      <c r="H2" s="2" t="s">
        <v>75</v>
      </c>
    </row>
    <row r="3" spans="1:8" ht="93" customHeight="1">
      <c r="A3" s="25">
        <v>46253</v>
      </c>
      <c r="B3" s="12" t="s">
        <v>32</v>
      </c>
      <c r="C3" s="30" t="s">
        <v>226</v>
      </c>
      <c r="D3" s="12" t="s">
        <v>227</v>
      </c>
      <c r="E3" s="12" t="s">
        <v>228</v>
      </c>
      <c r="F3" s="12" t="s">
        <v>176</v>
      </c>
      <c r="G3" s="13">
        <v>46254</v>
      </c>
      <c r="H3" s="17" t="s">
        <v>186</v>
      </c>
    </row>
    <row r="4" spans="1:8" ht="93" customHeight="1">
      <c r="A4" s="25">
        <v>46258</v>
      </c>
      <c r="B4" s="12" t="s">
        <v>32</v>
      </c>
      <c r="C4" s="12" t="s">
        <v>223</v>
      </c>
      <c r="D4" s="12" t="s">
        <v>227</v>
      </c>
      <c r="E4" s="12" t="s">
        <v>224</v>
      </c>
      <c r="F4" s="12" t="s">
        <v>172</v>
      </c>
      <c r="G4" s="13">
        <v>46261</v>
      </c>
      <c r="H4" s="17" t="s">
        <v>186</v>
      </c>
    </row>
    <row r="5" spans="1:8">
      <c r="A5" s="25"/>
      <c r="B5" s="12"/>
      <c r="C5" s="12"/>
      <c r="D5" s="12"/>
      <c r="E5" s="12"/>
      <c r="F5" s="12"/>
      <c r="G5" s="13"/>
      <c r="H5" s="17"/>
    </row>
    <row r="6" spans="1:8">
      <c r="A6" s="25"/>
      <c r="B6" s="12"/>
      <c r="C6" s="12"/>
      <c r="D6" s="12"/>
      <c r="E6" s="12"/>
      <c r="F6" s="12"/>
      <c r="G6" s="13"/>
      <c r="H6" s="17"/>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zoomScale="115" workbookViewId="0">
      <selection activeCell="G7" sqref="G7"/>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30" customHeight="1">
      <c r="A1" s="31" t="s">
        <v>129</v>
      </c>
      <c r="B1" s="31"/>
      <c r="C1" s="31"/>
      <c r="D1" s="31"/>
      <c r="E1" s="31"/>
      <c r="F1" s="31"/>
    </row>
    <row r="3" spans="1:6" ht="15">
      <c r="A3" s="1" t="s">
        <v>130</v>
      </c>
      <c r="B3" s="2" t="s">
        <v>42</v>
      </c>
      <c r="D3" s="32" t="s">
        <v>131</v>
      </c>
      <c r="E3" s="33"/>
      <c r="F3" s="34"/>
    </row>
    <row r="4" spans="1:6" ht="15">
      <c r="A4" s="3" t="s">
        <v>53</v>
      </c>
      <c r="B4" s="7" t="s">
        <v>32</v>
      </c>
      <c r="D4" s="3" t="s">
        <v>132</v>
      </c>
      <c r="E4" s="27" t="s">
        <v>181</v>
      </c>
    </row>
    <row r="5" spans="1:6" ht="15">
      <c r="A5" s="3" t="s">
        <v>55</v>
      </c>
      <c r="B5" s="7" t="s">
        <v>263</v>
      </c>
      <c r="D5" s="3" t="s">
        <v>133</v>
      </c>
      <c r="E5" s="27" t="s">
        <v>181</v>
      </c>
    </row>
    <row r="6" spans="1:6" ht="15">
      <c r="A6" s="3" t="s">
        <v>134</v>
      </c>
      <c r="B6" s="7" t="s">
        <v>46</v>
      </c>
      <c r="D6" s="3" t="s">
        <v>135</v>
      </c>
      <c r="E6" s="27" t="s">
        <v>181</v>
      </c>
    </row>
    <row r="7" spans="1:6" ht="87.75" customHeight="1">
      <c r="A7" s="3" t="s">
        <v>136</v>
      </c>
      <c r="B7" s="7" t="s">
        <v>214</v>
      </c>
      <c r="D7" s="3" t="s">
        <v>137</v>
      </c>
      <c r="E7" s="27" t="s">
        <v>181</v>
      </c>
    </row>
    <row r="8" spans="1:6" ht="49.5" customHeight="1">
      <c r="A8" s="3" t="s">
        <v>138</v>
      </c>
      <c r="B8" s="7" t="s">
        <v>215</v>
      </c>
      <c r="D8" s="3" t="s">
        <v>139</v>
      </c>
      <c r="E8" s="27" t="s">
        <v>181</v>
      </c>
    </row>
    <row r="9" spans="1:6" ht="60" customHeight="1">
      <c r="A9" s="3" t="s">
        <v>140</v>
      </c>
      <c r="B9" s="7" t="s">
        <v>216</v>
      </c>
      <c r="D9" s="3" t="s">
        <v>141</v>
      </c>
      <c r="E9" s="27" t="s">
        <v>181</v>
      </c>
    </row>
    <row r="10" spans="1:6" ht="96" customHeight="1">
      <c r="A10" s="3" t="s">
        <v>142</v>
      </c>
      <c r="B10" s="7" t="s">
        <v>221</v>
      </c>
      <c r="D10" s="3" t="s">
        <v>143</v>
      </c>
      <c r="E10" s="27" t="s">
        <v>181</v>
      </c>
    </row>
    <row r="11" spans="1:6" ht="70.5" customHeight="1">
      <c r="A11" s="3" t="s">
        <v>144</v>
      </c>
      <c r="B11" s="7" t="s">
        <v>222</v>
      </c>
      <c r="D11" s="3" t="s">
        <v>145</v>
      </c>
      <c r="E11" s="27" t="s">
        <v>181</v>
      </c>
    </row>
    <row r="12" spans="1:6" ht="60" customHeight="1">
      <c r="A12" s="3" t="s">
        <v>146</v>
      </c>
      <c r="B12" s="7" t="s">
        <v>220</v>
      </c>
      <c r="D12" s="5" t="s">
        <v>147</v>
      </c>
      <c r="E12" s="28" t="s">
        <v>181</v>
      </c>
    </row>
    <row r="13" spans="1:6" ht="60" customHeight="1">
      <c r="A13" s="5" t="s">
        <v>148</v>
      </c>
      <c r="B13" s="9" t="s">
        <v>213</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2" zoomScale="99" workbookViewId="0">
      <selection activeCell="B5" sqref="B5"/>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30" customHeight="1">
      <c r="A1" s="31" t="s">
        <v>29</v>
      </c>
      <c r="B1" s="31"/>
      <c r="C1" s="31"/>
      <c r="D1" s="31"/>
      <c r="E1" s="31"/>
      <c r="F1" s="31"/>
    </row>
    <row r="3" spans="1:6" ht="15">
      <c r="A3" s="1" t="s">
        <v>149</v>
      </c>
      <c r="B3" s="2" t="s">
        <v>42</v>
      </c>
      <c r="D3" s="32" t="s">
        <v>150</v>
      </c>
      <c r="E3" s="33"/>
      <c r="F3" s="34"/>
    </row>
    <row r="4" spans="1:6" ht="42" customHeight="1">
      <c r="A4" s="3" t="s">
        <v>53</v>
      </c>
      <c r="B4" s="7" t="s">
        <v>32</v>
      </c>
      <c r="D4" s="3" t="s">
        <v>151</v>
      </c>
      <c r="E4" s="4" t="s">
        <v>152</v>
      </c>
    </row>
    <row r="5" spans="1:6" ht="42" customHeight="1">
      <c r="A5" s="3" t="s">
        <v>47</v>
      </c>
      <c r="B5" s="7" t="s">
        <v>265</v>
      </c>
      <c r="D5" s="3" t="s">
        <v>153</v>
      </c>
      <c r="E5" s="4" t="s">
        <v>154</v>
      </c>
    </row>
    <row r="6" spans="1:6" ht="171" customHeight="1">
      <c r="A6" s="3" t="s">
        <v>155</v>
      </c>
      <c r="B6" s="7" t="s">
        <v>254</v>
      </c>
      <c r="D6" s="3" t="s">
        <v>156</v>
      </c>
      <c r="E6" s="4" t="s">
        <v>157</v>
      </c>
    </row>
    <row r="7" spans="1:6" ht="149.25" customHeight="1">
      <c r="A7" s="3" t="s">
        <v>158</v>
      </c>
      <c r="B7" s="7" t="s">
        <v>259</v>
      </c>
      <c r="D7" s="3" t="s">
        <v>159</v>
      </c>
      <c r="E7" s="4" t="s">
        <v>160</v>
      </c>
    </row>
    <row r="8" spans="1:6" ht="112.5" customHeight="1">
      <c r="A8" s="3" t="s">
        <v>161</v>
      </c>
      <c r="B8" s="7" t="s">
        <v>255</v>
      </c>
      <c r="D8" s="5" t="s">
        <v>162</v>
      </c>
      <c r="E8" s="6" t="s">
        <v>163</v>
      </c>
    </row>
    <row r="9" spans="1:6" ht="62.25" customHeight="1">
      <c r="A9" s="3" t="s">
        <v>164</v>
      </c>
      <c r="B9" s="7" t="s">
        <v>256</v>
      </c>
    </row>
    <row r="10" spans="1:6" ht="74.099999999999994" customHeight="1">
      <c r="A10" s="3" t="s">
        <v>165</v>
      </c>
      <c r="B10" s="7" t="s">
        <v>257</v>
      </c>
    </row>
    <row r="11" spans="1:6" ht="66" customHeight="1">
      <c r="A11" s="3" t="s">
        <v>166</v>
      </c>
      <c r="B11" s="7" t="s">
        <v>211</v>
      </c>
    </row>
    <row r="12" spans="1:6" ht="74.099999999999994" customHeight="1">
      <c r="A12" s="3" t="s">
        <v>167</v>
      </c>
      <c r="B12" s="7" t="s">
        <v>258</v>
      </c>
    </row>
    <row r="13" spans="1:6" ht="74.099999999999994" customHeight="1">
      <c r="A13" s="3" t="s">
        <v>168</v>
      </c>
      <c r="B13" s="7" t="s">
        <v>220</v>
      </c>
    </row>
    <row r="14" spans="1:6" ht="54" customHeight="1">
      <c r="A14" s="3" t="s">
        <v>169</v>
      </c>
      <c r="B14" s="7" t="s">
        <v>212</v>
      </c>
    </row>
    <row r="15" spans="1:6" ht="74.099999999999994" customHeight="1">
      <c r="A15" s="5" t="s">
        <v>170</v>
      </c>
      <c r="B15" s="9" t="s">
        <v>213</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D59FF0-9453-4B06-A7D3-37E4AD037A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Seiphetlho Gofaone</cp:lastModifiedBy>
  <dcterms:modified xsi:type="dcterms:W3CDTF">2026-09-04T19:25:12Z</dcterms:modified>
</cp:coreProperties>
</file>